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A\TEST\"/>
    </mc:Choice>
  </mc:AlternateContent>
  <bookViews>
    <workbookView xWindow="0" yWindow="0" windowWidth="28800" windowHeight="12285" activeTab="2"/>
  </bookViews>
  <sheets>
    <sheet name="Dashboard" sheetId="1" r:id="rId1"/>
    <sheet name="프리톡 화면" sheetId="2" r:id="rId2"/>
    <sheet name="Automation" sheetId="3" r:id="rId3"/>
  </sheets>
  <calcPr calcId="162913"/>
</workbook>
</file>

<file path=xl/calcChain.xml><?xml version="1.0" encoding="utf-8"?>
<calcChain xmlns="http://schemas.openxmlformats.org/spreadsheetml/2006/main">
  <c r="G4" i="1" l="1"/>
  <c r="F4" i="1"/>
  <c r="E4" i="1"/>
  <c r="D4" i="1"/>
  <c r="C4" i="1"/>
  <c r="H4" i="1" s="1"/>
</calcChain>
</file>

<file path=xl/sharedStrings.xml><?xml version="1.0" encoding="utf-8"?>
<sst xmlns="http://schemas.openxmlformats.org/spreadsheetml/2006/main" count="724" uniqueCount="319">
  <si>
    <t>새미일본어 프리톡 테스트 현황</t>
  </si>
  <si>
    <t>구분</t>
  </si>
  <si>
    <t>전체</t>
  </si>
  <si>
    <t>PASS</t>
  </si>
  <si>
    <t>FAIL</t>
  </si>
  <si>
    <t>BLOCK</t>
  </si>
  <si>
    <t>N/A</t>
  </si>
  <si>
    <t>진행률</t>
  </si>
  <si>
    <t>프리톡 화면</t>
  </si>
  <si>
    <t>참고 자료</t>
  </si>
  <si>
    <t>Figma:
https://www.figma.com/design/TtrNztBUA8oKOfYKfhBhGx/-Talkis--semi-%EC%9D%BC%EB%B3%B8%EC%96%B4--Copy-?node-id=2788-173&amp;p=f&amp;t=VexK4aSSd3E26vPO-0</t>
  </si>
  <si>
    <t>테스트케이스 형식: 새미일본어_홈화면_TestCase_260831.xlsx / 메인 화면 시트 (작성1 방식)</t>
  </si>
  <si>
    <t>Figma 확인 메모: 대상 친구는 사용자 요청의 고바야시로 작성했습니다. 현재 Figma 표기(선택 카드 유유 / 대화 프로필 佐藤)와 명칭 차이는 앱 데이터 연동 전 확인이 필요합니다.</t>
  </si>
  <si>
    <t>새미일본어 - 프리톡 화면</t>
  </si>
  <si>
    <t>결과</t>
  </si>
  <si>
    <t>1Depth</t>
  </si>
  <si>
    <t>2Depth</t>
  </si>
  <si>
    <t>3Depth</t>
  </si>
  <si>
    <t>4Depth</t>
  </si>
  <si>
    <t>5Depth</t>
  </si>
  <si>
    <t>6Depth</t>
  </si>
  <si>
    <t>7Depth</t>
  </si>
  <si>
    <t>Check</t>
  </si>
  <si>
    <t>Expected Result</t>
  </si>
  <si>
    <t>우선순위</t>
  </si>
  <si>
    <t>Result</t>
  </si>
  <si>
    <t>Date</t>
  </si>
  <si>
    <t>BTS</t>
  </si>
  <si>
    <t>Comment</t>
  </si>
  <si>
    <t>홈 → 프리톡</t>
  </si>
  <si>
    <t>프리톡 진입</t>
  </si>
  <si>
    <t>프리톡 진입 요소</t>
  </si>
  <si>
    <t>로그인된 Android 사용자·정상 프리톡 데이터·마이크 권한 허용</t>
  </si>
  <si>
    <t>홈에서 프리톡 카드 또는 메뉴 확인</t>
  </si>
  <si>
    <t>UI 리소스</t>
  </si>
  <si>
    <t>프리톡 진입 요소의 제목·아이콘·배치가 홈 화면에서 식별 가능하게 표시된다.</t>
  </si>
  <si>
    <t>Figma: node 2788-173 | 메인 홈(HM-01)</t>
  </si>
  <si>
    <t>진입 안내 문구</t>
  </si>
  <si>
    <t>프리톡 진입 요소의 안내 문구와 이동 아이콘 확인</t>
  </si>
  <si>
    <r>
      <rPr>
        <sz val="10"/>
        <color rgb="FF000000"/>
        <rFont val="돋움"/>
        <family val="3"/>
      </rPr>
      <t>프리톡에서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고바야시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</rPr>
      <t>미나미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</rPr>
      <t>스즈키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</rPr>
      <t>다카하시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순으로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표시된다</t>
    </r>
    <r>
      <rPr>
        <sz val="10"/>
        <color rgb="FF000000"/>
        <rFont val="Arial"/>
        <family val="2"/>
      </rPr>
      <t>.</t>
    </r>
  </si>
  <si>
    <t>튜터 선택 화면 기본 구성</t>
  </si>
  <si>
    <t>프리톡 도착 후 제목·친구 카드 목록·선택 완료 영역 확인</t>
  </si>
  <si>
    <t>튜터 선택 기본 상태</t>
  </si>
  <si>
    <t>프리톡 제목, 친구 카드 목록, 선택 완료 영역이 누락·겹침·잘림 없이 표시된다.</t>
  </si>
  <si>
    <t>Figma: node 2788-173 | 튜터 선택(FT-01) @기본</t>
  </si>
  <si>
    <t>친구(튜터) 선택</t>
  </si>
  <si>
    <t>튜터 목록</t>
  </si>
  <si>
    <t>친구 카드 목록</t>
  </si>
  <si>
    <t>튜터 선택 화면의 친구 카드 수·순서·간격 확인</t>
  </si>
  <si>
    <t>친구 선택 전</t>
  </si>
  <si>
    <r>
      <rPr>
        <sz val="10"/>
        <color rgb="FF000000"/>
        <rFont val="돋움"/>
        <family val="3"/>
      </rP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상태의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친구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카드가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규칙으로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카드가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가능한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상태로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구분된다</t>
    </r>
    <r>
      <rPr>
        <sz val="10"/>
        <color rgb="FF000000"/>
        <rFont val="Arial"/>
        <family val="2"/>
      </rPr>
      <t>.</t>
    </r>
  </si>
  <si>
    <t>Figma: node 2788-173 | 튜터 선택(FT-01) @기본 | 대상: 고바야시(사용자 지정)</t>
  </si>
  <si>
    <t>고바야시 카드 노출</t>
  </si>
  <si>
    <t>친구 카드 목록에서 고바야시 대상 카드 확인</t>
  </si>
  <si>
    <t>Function</t>
  </si>
  <si>
    <t>사용자 지정 대상인 고바야시 친구 카드를 식별하고 선택할 수 있다.</t>
  </si>
  <si>
    <t>고바야시 카드 정보</t>
  </si>
  <si>
    <t>고바야시 카드의 프로필 이미지·이름·소개 문구 확인</t>
  </si>
  <si>
    <t>고바야시 카드의 프로필 정보가 카드 안에서 읽기 쉽게 표시되고 다른 카드 요소와 겹치지 않는다.</t>
  </si>
  <si>
    <t>Figma: node 2788-173 | data_프리톡 · 필드값 | 대상: 고바야시(사용자 지정)</t>
  </si>
  <si>
    <t>고바야시 선택</t>
  </si>
  <si>
    <t>친구 선택 동작</t>
  </si>
  <si>
    <t>고바야시 친구 카드 선택</t>
  </si>
  <si>
    <t>고바야시가 현재 선택된 친구로 전환되고 선택한 친구의 정보가 유지된다.</t>
  </si>
  <si>
    <t>선택 강조 상태</t>
  </si>
  <si>
    <t>고바야시 선택 후 카드의 활성 스타일 확인</t>
  </si>
  <si>
    <t>고바야시 선택 완료</t>
  </si>
  <si>
    <t>고바야시 카드만 활성 상태로 명확히 강조되어 현재 선택 대상을 알 수 있다.</t>
  </si>
  <si>
    <t>선택 정보 일치</t>
  </si>
  <si>
    <t>선택 후 프로필 이미지·이름·소개 문구 확인</t>
  </si>
  <si>
    <t>선택 화면에 표시되는 친구 정보가 고바야시 대상과 일치하며 이전 친구 정보가 남아 있지 않는다.</t>
  </si>
  <si>
    <t>선택 완료</t>
  </si>
  <si>
    <t>선택 완료 CTA 노출</t>
  </si>
  <si>
    <t>고바야시 선택 후 선택 완료 CTA 확인</t>
  </si>
  <si>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완료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가능한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상태로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</si>
  <si>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Figma: node 2788-173 | 튜터 선택(FT-01) @선택 | 대상: 고바야시(사용자 지정)</t>
  </si>
  <si>
    <t>CTA 문구 및 정렬</t>
  </si>
  <si>
    <t>선택 완료 CTA의 문구·아이콘·배치 확인</t>
  </si>
  <si>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완료버튼을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클릭한다</t>
    </r>
    <r>
      <rPr>
        <sz val="10"/>
        <color rgb="FF000000"/>
        <rFont val="Arial"/>
        <family val="2"/>
      </rPr>
      <t>.</t>
    </r>
  </si>
  <si>
    <t>주제 선택 진입</t>
  </si>
  <si>
    <t>선택 완료 CTA 선택</t>
  </si>
  <si>
    <t>주제 선택 화면 진입</t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</si>
  <si>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주제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화면으로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이동한다</t>
    </r>
    <r>
      <rPr>
        <sz val="10"/>
        <color rgb="FF000000"/>
        <rFont val="Arial"/>
        <family val="2"/>
      </rPr>
      <t>.</t>
    </r>
  </si>
  <si>
    <t>Figma: node 2788-173 | 대화 주제 선택 | 대상: 고바야시(사용자 지정)</t>
  </si>
  <si>
    <t>주제 선택</t>
  </si>
  <si>
    <t>주제 목록</t>
  </si>
  <si>
    <t>주제 선택 화면 구성</t>
  </si>
  <si>
    <t>주제 선택 화면의 제목·안내·주제 카드 영역 확인</t>
  </si>
  <si>
    <t>고바야시와 대화할 주제를 선택할 수 있는 제목·안내·카드 영역이 누락 없이 표시된다.</t>
  </si>
  <si>
    <t>Figma: node 2788-173 | 대화 주제 선택</t>
  </si>
  <si>
    <t>고바야시 문맥 유지</t>
  </si>
  <si>
    <t>주제 선택 화면에서 고바야시 프로필 또는 선택 정보 확인</t>
  </si>
  <si>
    <t>주제 선택 화면에서도 고바야시 선택 문맥이 유지되어 다른 친구로 바뀌지 않는다.</t>
  </si>
  <si>
    <r>
      <rPr>
        <sz val="10"/>
        <color rgb="FF000000"/>
        <rFont val="돋움"/>
        <family val="3"/>
      </rPr>
      <t>친구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변경</t>
    </r>
  </si>
  <si>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선택하기</t>
    </r>
  </si>
  <si>
    <r>
      <rPr>
        <sz val="10"/>
        <color rgb="FF000000"/>
        <rFont val="돋움"/>
        <family val="3"/>
      </rPr>
      <t>고바야시가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상태에서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</si>
  <si>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r>
      <rPr>
        <sz val="10"/>
        <color rgb="FF000000"/>
        <rFont val="돋움"/>
        <family val="3"/>
      </rPr>
      <t>친구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리스트가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노출되면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고바야시를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돋움"/>
        <family val="3"/>
      </rPr>
      <t>선택하고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완료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</si>
  <si>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주제 선택 전</t>
  </si>
  <si>
    <t>기본 주제 카드 노출</t>
  </si>
  <si>
    <t>Figma 기준 기본 노출 주제 카드 4건 확인</t>
  </si>
  <si>
    <t>주제 카드 4건이 정의된 순서와 간격으로 표시되고 각 카드를 선택할 수 있다.</t>
  </si>
  <si>
    <t>Figma: node 2788-173 | data_프리톡 · 필드값</t>
  </si>
  <si>
    <t>주제 카드 정보</t>
  </si>
  <si>
    <t>일반 사용자 학습에 사용할 주제 카드 1건의 제목·이미지·설명 확인</t>
  </si>
  <si>
    <t>선택 대상 주제의 제목·이미지·설명이 카드 안에서 일치하고 읽기 쉽게 표시된다.</t>
  </si>
  <si>
    <t>주제 선택 동작</t>
  </si>
  <si>
    <t>기본 노출 주제 카드 중 1건 선택</t>
  </si>
  <si>
    <t>선택한 주제가 현재 대화 주제로 전환되고 해당 주제의 안내 정보가 갱신된다.</t>
  </si>
  <si>
    <t>선택한 주제 카드의 활성 스타일 확인</t>
  </si>
  <si>
    <t>주제 선택 완료</t>
  </si>
  <si>
    <t>선택한 주제 카드만 활성 상태로 구분되어 현재 대화 주제를 알 수 있다.</t>
  </si>
  <si>
    <t>대화 시작</t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</si>
  <si>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</t>
    </r>
  </si>
  <si>
    <t>주제 선택 후 대화 시작하기 CTA 확인</t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</si>
  <si>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가능한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상태로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</si>
  <si>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대화 화면 진입</t>
  </si>
  <si>
    <t>대화 시작하기 CTA 선택</t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</si>
  <si>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진입</t>
    </r>
  </si>
  <si>
    <r>
      <rPr>
        <sz val="10"/>
        <color rgb="FF000000"/>
        <rFont val="돋움"/>
        <family val="3"/>
      </rPr>
      <t>선택한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고바야시와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주제에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대응하는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화면으로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이동한다</t>
    </r>
    <r>
      <rPr>
        <sz val="10"/>
        <color rgb="FF000000"/>
        <rFont val="Arial"/>
        <family val="2"/>
      </rPr>
      <t>.</t>
    </r>
  </si>
  <si>
    <t>Figma: node 2788-173 | 대화(FT-02)</t>
  </si>
  <si>
    <t>대화 화면</t>
  </si>
  <si>
    <t>대화 화면 기본 구성</t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</si>
  <si>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화면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도착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티켓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팝업</t>
    </r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</si>
  <si>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전</t>
    </r>
  </si>
  <si>
    <r>
      <rPr>
        <sz val="10"/>
        <color rgb="FF000000"/>
        <rFont val="돋움"/>
        <family val="3"/>
      </rPr>
      <t>대화를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시작할까요</t>
    </r>
    <r>
      <rPr>
        <sz val="10"/>
        <color rgb="FF000000"/>
        <rFont val="Arial"/>
        <family val="2"/>
      </rPr>
      <t xml:space="preserve">? </t>
    </r>
    <r>
      <rPr>
        <sz val="10"/>
        <color rgb="FF000000"/>
        <rFont val="돋움"/>
        <family val="3"/>
      </rPr>
      <t>팝업이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노출된다</t>
    </r>
    <r>
      <rPr>
        <sz val="10"/>
        <color rgb="FF000000"/>
        <rFont val="Arial"/>
        <family val="2"/>
      </rPr>
      <t>.</t>
    </r>
  </si>
  <si>
    <r>
      <t>"</t>
    </r>
    <r>
      <rPr>
        <sz val="10"/>
        <color rgb="FF000000"/>
        <rFont val="돋움"/>
        <family val="3"/>
      </rPr>
      <t>취소</t>
    </r>
    <r>
      <rPr>
        <sz val="10"/>
        <color rgb="FF000000"/>
        <rFont val="Arial"/>
        <family val="2"/>
      </rPr>
      <t xml:space="preserve">" </t>
    </r>
    <r>
      <rPr>
        <sz val="10"/>
        <color rgb="FF000000"/>
        <rFont val="돋움"/>
        <family val="3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주제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페이지가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유지된다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</si>
  <si>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</si>
  <si>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r>
      <t>대화를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시작할까요</t>
    </r>
    <r>
      <rPr>
        <sz val="10"/>
        <color rgb="FF000000"/>
        <rFont val="Arial"/>
        <family val="2"/>
      </rPr>
      <t xml:space="preserve">? </t>
    </r>
    <r>
      <rPr>
        <sz val="10"/>
        <color rgb="FF000000"/>
        <rFont val="돋움"/>
        <family val="3"/>
      </rPr>
      <t>팝업이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노출된다</t>
    </r>
    <r>
      <rPr>
        <sz val="10"/>
        <color rgb="FF000000"/>
        <rFont val="Arial"/>
        <family val="2"/>
      </rPr>
      <t>.</t>
    </r>
  </si>
  <si>
    <r>
      <t>"</t>
    </r>
    <r>
      <rPr>
        <sz val="10"/>
        <color rgb="FF000000"/>
        <rFont val="돋움"/>
        <family val="3"/>
      </rPr>
      <t>시작하기</t>
    </r>
    <r>
      <rPr>
        <sz val="10"/>
        <color rgb="FF000000"/>
        <rFont val="Arial"/>
        <family val="2"/>
      </rPr>
      <t xml:space="preserve">" </t>
    </r>
    <r>
      <rPr>
        <sz val="10"/>
        <color rgb="FF000000"/>
        <rFont val="돋움"/>
        <family val="3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프리톡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대화하기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화면으로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이동한다</t>
    </r>
    <r>
      <rPr>
        <sz val="10"/>
        <color rgb="FF000000"/>
        <rFont val="Arial"/>
        <family val="2"/>
      </rPr>
      <t>.</t>
    </r>
  </si>
  <si>
    <t>대화(FT-02) 메뉴 학습</t>
  </si>
  <si>
    <t>대화 화면 도착 후 고바야시 프로필·선택 주제·초기 말풍선 확인</t>
  </si>
  <si>
    <t>대화 시작 직후</t>
  </si>
  <si>
    <r>
      <rPr>
        <sz val="10"/>
        <color rgb="FF000000"/>
        <rFont val="돋움"/>
        <family val="3"/>
      </rPr>
      <t>고바야시와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주제에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맞는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프로필</t>
    </r>
    <r>
      <rPr>
        <sz val="10"/>
        <color rgb="FF000000"/>
        <rFont val="Arial"/>
        <family val="2"/>
      </rPr>
      <t>·</t>
    </r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콘텐츠가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</si>
  <si>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말풍선 및 학습 문구</t>
  </si>
  <si>
    <t>대화 말풍선·일본어 문장·보조 안내 확인</t>
  </si>
  <si>
    <t>말풍선과 학습 문구가 읽기 쉽게 표시되고 대화 영역·하단 메뉴와 겹치지 않는다.</t>
  </si>
  <si>
    <t>음성 듣기</t>
  </si>
  <si>
    <t>음성 듣기 실행</t>
  </si>
  <si>
    <t>현재 말풍선의 음성 듣기 메뉴 선택</t>
  </si>
  <si>
    <r>
      <rPr>
        <sz val="10"/>
        <color rgb="FF000000"/>
        <rFont val="돋움"/>
        <family val="3"/>
      </rPr>
      <t>대화창에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음성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듣기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현재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문장에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음성이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재생된다</t>
    </r>
    <r>
      <rPr>
        <sz val="10"/>
        <color rgb="FF000000"/>
        <rFont val="Arial"/>
        <family val="2"/>
      </rPr>
      <t>.</t>
    </r>
  </si>
  <si>
    <t>대화 문맥 유지</t>
  </si>
  <si>
    <t>음성 듣기 실행 후 고바야시·선택 주제·현재 말풍선 확인</t>
  </si>
  <si>
    <t>음성 듣기 완료</t>
  </si>
  <si>
    <t>음성 듣기 실행 전후로 친구, 주제, 현재 문장과 다른 학습 메뉴의 상태가 유지된다.</t>
  </si>
  <si>
    <t>해석보기</t>
  </si>
  <si>
    <t>해석보기 실행</t>
  </si>
  <si>
    <t>현재 말풍선의 해석보기 메뉴 선택</t>
  </si>
  <si>
    <t>현재 일본어 문장에 대응하는 해석이 대화 화면에 표시된다.</t>
  </si>
  <si>
    <r>
      <rPr>
        <sz val="10"/>
        <color rgb="FF000000"/>
        <rFont val="돋움"/>
        <family val="3"/>
      </rPr>
      <t>해석보기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닫기</t>
    </r>
  </si>
  <si>
    <t>닫기</t>
  </si>
  <si>
    <r>
      <rPr>
        <sz val="10"/>
        <color rgb="FF000000"/>
        <rFont val="돋움"/>
        <family val="3"/>
      </rPr>
      <t>해석보기를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노출된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해석이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사라진다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</si>
  <si>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텍스트 크기</t>
  </si>
  <si>
    <t>텍스트 크기 실행</t>
  </si>
  <si>
    <t>텍스트 크기 메뉴 선택</t>
  </si>
  <si>
    <t>텍스트 크기 변경</t>
  </si>
  <si>
    <r>
      <rPr>
        <sz val="10"/>
        <color rgb="FF000000"/>
        <rFont val="돋움"/>
        <family val="3"/>
      </rPr>
      <t>텍스트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크기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UI</t>
    </r>
    <r>
      <rPr>
        <sz val="10"/>
        <color rgb="FF000000"/>
        <rFont val="돋움"/>
        <family val="3"/>
      </rPr>
      <t>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사용자가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본문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크기를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변경할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있다</t>
    </r>
    <r>
      <rPr>
        <sz val="10"/>
        <color rgb="FF000000"/>
        <rFont val="Arial"/>
        <family val="2"/>
      </rPr>
      <t>.</t>
    </r>
  </si>
  <si>
    <t>본문 크기 변경</t>
  </si>
  <si>
    <t>텍스트 크기 옵션 1건 선택 후 본문 확인</t>
  </si>
  <si>
    <t>텍스트 크기 변경 완료</t>
  </si>
  <si>
    <r>
      <t>"</t>
    </r>
    <r>
      <rPr>
        <sz val="10"/>
        <color rgb="FF000000"/>
        <rFont val="돋움"/>
        <family val="3"/>
      </rPr>
      <t>텍스트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크기</t>
    </r>
    <r>
      <rPr>
        <sz val="10"/>
        <color rgb="FF000000"/>
        <rFont val="Arial"/>
        <family val="2"/>
      </rPr>
      <t xml:space="preserve">" </t>
    </r>
    <r>
      <rPr>
        <sz val="10"/>
        <color rgb="FF000000"/>
        <rFont val="돋움"/>
        <family val="3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3</t>
    </r>
    <r>
      <rPr>
        <sz val="10"/>
        <color rgb="FF000000"/>
        <rFont val="돋움"/>
        <family val="3"/>
      </rPr>
      <t>단계로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본문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크기가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옵션에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맞게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변경된다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</si>
  <si>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말해보세요</t>
  </si>
  <si>
    <t>음성 입력 시작</t>
  </si>
  <si>
    <t>버튼을 누르고 말해보세요 메뉴를 길게 누름</t>
  </si>
  <si>
    <t>녹음 시작</t>
  </si>
  <si>
    <t>현재 대화 문맥에서 음성 입력 대기 상태가 시작되고 녹음 UI가 표시된다.</t>
  </si>
  <si>
    <t>녹음 상태 표시</t>
  </si>
  <si>
    <t>음성 입력 중 녹음 상태와 안내 문구 확인</t>
  </si>
  <si>
    <t>녹음</t>
  </si>
  <si>
    <t>초록색 녹음 상태와 발화 안내가 명확히 표시되며 현재 대화 화면이 유지된다.</t>
  </si>
  <si>
    <r>
      <rPr>
        <sz val="10"/>
        <color rgb="FF000000"/>
        <rFont val="돋움"/>
        <family val="3"/>
      </rPr>
      <t>음성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입력</t>
    </r>
  </si>
  <si>
    <r>
      <rPr>
        <sz val="10"/>
        <color rgb="FF000000"/>
        <rFont val="돋움"/>
        <family val="3"/>
      </rPr>
      <t>누르기를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해제한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녹음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확인</t>
    </r>
  </si>
  <si>
    <r>
      <t>"</t>
    </r>
    <r>
      <rPr>
        <sz val="10"/>
        <color rgb="FF000000"/>
        <rFont val="돋움"/>
        <family val="3"/>
      </rPr>
      <t>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누르고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말해보세요</t>
    </r>
    <r>
      <rPr>
        <sz val="10"/>
        <color rgb="FF000000"/>
        <rFont val="Arial"/>
        <family val="2"/>
      </rPr>
      <t xml:space="preserve">" </t>
    </r>
    <r>
      <rPr>
        <sz val="10"/>
        <color rgb="FF000000"/>
        <rFont val="돋움"/>
        <family val="3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음성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수신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활성화된다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</si>
  <si>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r>
      <rPr>
        <sz val="10"/>
        <color rgb="FF000000"/>
        <rFont val="돋움"/>
        <family val="3"/>
      </rPr>
      <t>음성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종료</t>
    </r>
  </si>
  <si>
    <t>누르기를 해제한 뒤 녹음 UI 종료 확인</t>
  </si>
  <si>
    <t>녹음 종료</t>
  </si>
  <si>
    <t>Recovery</t>
  </si>
  <si>
    <r>
      <rPr>
        <sz val="10"/>
        <color rgb="FF000000"/>
        <rFont val="돋움"/>
        <family val="3"/>
      </rPr>
      <t>음성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수신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녹음이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종료된다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</si>
  <si>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힌트보기</t>
  </si>
  <si>
    <t>힌트보기 실행</t>
  </si>
  <si>
    <t>힌트보기 메뉴 선택</t>
  </si>
  <si>
    <t>현재 말풍선 또는 학습 문장에 대응하는 힌트 패널이 대화 화면에 표시된다.</t>
  </si>
  <si>
    <r>
      <rPr>
        <sz val="10"/>
        <color rgb="FF000000"/>
        <rFont val="돋움"/>
        <family val="3"/>
      </rPr>
      <t>힌트보기닫기</t>
    </r>
    <r>
      <rPr>
        <sz val="10"/>
        <color rgb="FF000000"/>
        <rFont val="돋움"/>
        <family val="3"/>
      </rPr>
      <t>행</t>
    </r>
  </si>
  <si>
    <r>
      <rPr>
        <sz val="10"/>
        <color rgb="FF000000"/>
        <rFont val="돋움"/>
        <family val="3"/>
      </rPr>
      <t>힌트보기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메뉴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재선택</t>
    </r>
  </si>
  <si>
    <r>
      <rPr>
        <sz val="10"/>
        <color rgb="FF000000"/>
        <rFont val="돋움"/>
        <family val="3"/>
      </rPr>
      <t>노출된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힌트보기가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사라진다</t>
    </r>
    <r>
      <rPr>
        <sz val="10"/>
        <color rgb="FF000000"/>
        <rFont val="Arial"/>
        <family val="2"/>
      </rPr>
      <t>.</t>
    </r>
  </si>
  <si>
    <t>순서 완료</t>
  </si>
  <si>
    <t>5개 메뉴 순차 실행 완료</t>
  </si>
  <si>
    <t>음성 듣기 &gt; 해석보기 &gt; 텍스트 크기 &gt; 말해보세요 &gt; 힌트보기를 각각 1회 실행한 뒤 대화 화면 확인</t>
  </si>
  <si>
    <t>메뉴 실행 완료</t>
  </si>
  <si>
    <t>모든 메뉴를 지정 순서로 한 번씩 실행한 후에도 대화 화면이 정상 상태이며 각 메뉴를 다시 사용할 수 있다.</t>
  </si>
  <si>
    <t>학습 문맥 유지</t>
  </si>
  <si>
    <t>5개 메뉴 실행 완료 후 고바야시·선택 주제·현재 대화 말풍선 확인</t>
  </si>
  <si>
    <t>고바야시, 선택 주제, 현재 대화 문맥이 유지되어 사용자가 친구 또는 주제를 다시 선택할 필요가 없다.</t>
  </si>
  <si>
    <t>새미일본어 프리톡 - 실행용 Automation</t>
  </si>
  <si>
    <t>Run Test Case는 홈 화면에서 시작하세요. 프리톡 진입, 튜터·주제 선택, 안전 복귀만 실행합니다. 대화 시작, 음성 입력, 오디오 재생, 설정 변경 및 시각 비교 항목은 Block(N/A)로 기록합니다.</t>
  </si>
  <si>
    <t>Step</t>
  </si>
  <si>
    <t>Enabled</t>
  </si>
  <si>
    <t>Action</t>
  </si>
  <si>
    <t>Target</t>
  </si>
  <si>
    <t>Value</t>
  </si>
  <si>
    <t>Expected</t>
  </si>
  <si>
    <t>Wait ms</t>
  </si>
  <si>
    <t>Description</t>
  </si>
  <si>
    <t>Source Row</t>
  </si>
  <si>
    <t>Priority</t>
  </si>
  <si>
    <t>Block Reason</t>
  </si>
  <si>
    <t>Y</t>
  </si>
  <si>
    <t>assert_text</t>
  </si>
  <si>
    <t>프리톡</t>
  </si>
  <si>
    <t>프리톡 화면 row 3 - 홈 프리톡 카드 제목 표시</t>
  </si>
  <si>
    <t>가장 친한 친구를 만들어보세요</t>
  </si>
  <si>
    <t>프리톡 화면 row 4 - 홈 프리톡 진입 안내 표시</t>
  </si>
  <si>
    <t>tap</t>
  </si>
  <si>
    <t>프리톡 화면 row 3 - 홈에서 프리톡 선택 화면 진입</t>
  </si>
  <si>
    <t>wait</t>
  </si>
  <si>
    <t>프리톡 화면 row 3 - 프리톡 선택 화면 전환 대기</t>
  </si>
  <si>
    <t>대화를 나눌 친구를 선택해 주세요.</t>
  </si>
  <si>
    <t>프리톡 화면 row 5 - 튜터 선택 안내 표시</t>
  </si>
  <si>
    <t>프리톡 화면 row 5 - 튜터 선택 완료 영역 표시</t>
  </si>
  <si>
    <t>고바야시</t>
  </si>
  <si>
    <t>프리톡 화면 row 6 - 고바야시 튜터 카드 표시</t>
  </si>
  <si>
    <t>미나미</t>
  </si>
  <si>
    <t>프리톡 화면 row 6 - 미나미 튜터 카드 표시</t>
  </si>
  <si>
    <t>스즈키</t>
  </si>
  <si>
    <t>프리톡 화면 row 6 - 스즈키 튜터 카드 표시</t>
  </si>
  <si>
    <t>다카하시</t>
  </si>
  <si>
    <t>프리톡 화면 row 6 - 다카하시 튜터 카드 표시</t>
  </si>
  <si>
    <t>assert_checked</t>
  </si>
  <si>
    <t>true</t>
  </si>
  <si>
    <t>프리톡 화면 row 11 - 선택 완료 CTA 표시</t>
  </si>
  <si>
    <t>프리톡 화면 row 12 - 선택 완료 CTA 활성 대상 확인</t>
  </si>
  <si>
    <t>blocked</t>
  </si>
  <si>
    <t>프리톡 화면 row 13 - 선택 완료 CTA 아이콘·정렬</t>
  </si>
  <si>
    <t>프리톡 화면 row 14 - 대화 주제 선택 화면 진입</t>
  </si>
  <si>
    <t>프리톡 화면 row 14 - 주제 선택 화면 전환 대기</t>
  </si>
  <si>
    <t>추천 주제 중 하나를 골라주세요</t>
  </si>
  <si>
    <t>프리톡 화면 row 15 - 주제 선택 안내 표시</t>
  </si>
  <si>
    <t>선택한 친구</t>
  </si>
  <si>
    <t>프리톡 화면 row 15 - 선택 친구 영역 표시</t>
  </si>
  <si>
    <t>다시 선택하기</t>
  </si>
  <si>
    <t>프리톡 화면 row 17 - 친구 다시 선택 액션 표시</t>
  </si>
  <si>
    <t>프리톡 화면 row 18 - 친구 변경</t>
  </si>
  <si>
    <t>프리톡 화면 row 21 - 추천 주제 카드 3 표시</t>
  </si>
  <si>
    <t>자유 대화 하기</t>
  </si>
  <si>
    <t>프리톡 화면 row 21 - 주제 카드 4 표시</t>
  </si>
  <si>
    <t>自由におしゃべりする</t>
  </si>
  <si>
    <t>프리톡 화면 row 22 - 선택 대상 주제의 일본어 문구 표시</t>
  </si>
  <si>
    <t>프리톡 화면 row 23 - 주제 카드 선택</t>
  </si>
  <si>
    <t>프리톡 화면 row 23 - 주제 선택 상태 반영 대기</t>
  </si>
  <si>
    <t>대화 시작하기</t>
  </si>
  <si>
    <t>프리톡 화면 row 25 - 대화 시작 CTA 표시</t>
  </si>
  <si>
    <t>프리톡 화면 row 26 - 대화 시작하기 실행</t>
  </si>
  <si>
    <t>프리톡 화면 row 27 - 대화 시작 팝업</t>
  </si>
  <si>
    <t>프리톡 화면 row 28 - 팝업 취소</t>
  </si>
  <si>
    <t>프리톡 화면 row 29 - 대화 시작 CTA 재선택</t>
  </si>
  <si>
    <t>프리톡 화면 row 31 - 팝업 시작하기</t>
  </si>
  <si>
    <t>프리톡 화면 row 32 - 대화 화면 기본 구성</t>
  </si>
  <si>
    <t>프리톡 화면 row 34 - 음성 듣기</t>
  </si>
  <si>
    <t>프리톡 화면 row 35 - 음성 듣기 후 문맥 유지</t>
  </si>
  <si>
    <t>프리톡 화면 row 36 - 해석보기</t>
  </si>
  <si>
    <t>프리톡 화면 row 37 - 해석보기 닫기</t>
  </si>
  <si>
    <t>프리톡 화면 row 38 - 텍스트 크기 메뉴</t>
  </si>
  <si>
    <t>마이크 입력 및 녹음은 사용자 발화·권한·서버 응답을 요구하므로 제외합니다.</t>
  </si>
  <si>
    <t>녹음 중 상태는 실제 마이크 입력과 권한이 필요합니다.</t>
  </si>
  <si>
    <t>음성 인식은 사용자 입력과 대화 진행 상태를 변경할 수 있어 제외합니다.</t>
  </si>
  <si>
    <t>녹음 시작 상태가 필요하며 사용자 발화 처리에 영향을 줄 수 있습니다.</t>
  </si>
  <si>
    <t>back</t>
  </si>
  <si>
    <r>
      <rPr>
        <sz val="10"/>
        <color rgb="FF1F2937"/>
        <rFont val="돋움"/>
        <family val="3"/>
        <charset val="129"/>
      </rPr>
      <t>다시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선택하기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</si>
  <si>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21 -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주제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진입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</si>
  <si>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22 - </t>
    </r>
    <r>
      <rPr>
        <sz val="10"/>
        <color rgb="FF1F2937"/>
        <rFont val="돋움"/>
        <family val="3"/>
        <charset val="129"/>
      </rPr>
      <t>추천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주제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카드</t>
    </r>
    <r>
      <rPr>
        <sz val="10"/>
        <color rgb="FF1F2937"/>
        <rFont val="Carlito"/>
      </rPr>
      <t xml:space="preserve"> 1 </t>
    </r>
    <r>
      <rPr>
        <sz val="10"/>
        <color rgb="FF1F2937"/>
        <rFont val="돋움"/>
        <family val="3"/>
        <charset val="129"/>
      </rPr>
      <t>표시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</si>
  <si>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24 - </t>
    </r>
    <r>
      <rPr>
        <sz val="10"/>
        <color rgb="FF1F2937"/>
        <rFont val="돋움"/>
        <family val="3"/>
        <charset val="129"/>
      </rPr>
      <t>자유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하기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활성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상태</t>
    </r>
    <phoneticPr fontId="5" type="noConversion"/>
  </si>
  <si>
    <r>
      <rPr>
        <sz val="10"/>
        <color rgb="FF1F2937"/>
        <rFont val="돋움"/>
        <family val="3"/>
        <charset val="129"/>
      </rPr>
      <t>대화를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시작할까요</t>
    </r>
    <r>
      <rPr>
        <sz val="10"/>
        <color rgb="FF1F2937"/>
        <rFont val="Carlito"/>
      </rPr>
      <t>?</t>
    </r>
    <phoneticPr fontId="5" type="noConversion"/>
  </si>
  <si>
    <t>취소</t>
    <phoneticPr fontId="5" type="noConversion"/>
  </si>
  <si>
    <t>취소</t>
    <phoneticPr fontId="5" type="noConversion"/>
  </si>
  <si>
    <t>시작하기</t>
    <phoneticPr fontId="5" type="noConversion"/>
  </si>
  <si>
    <t>시작하기</t>
    <phoneticPr fontId="5" type="noConversion"/>
  </si>
  <si>
    <r>
      <rPr>
        <sz val="10"/>
        <color rgb="FF1F2937"/>
        <rFont val="돋움"/>
        <family val="3"/>
        <charset val="129"/>
      </rPr>
      <t>음성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듣기</t>
    </r>
    <phoneticPr fontId="5" type="noConversion"/>
  </si>
  <si>
    <t>해석보기</t>
    <phoneticPr fontId="5" type="noConversion"/>
  </si>
  <si>
    <r>
      <rPr>
        <sz val="10"/>
        <color rgb="FF1F2937"/>
        <rFont val="돋움"/>
        <family val="3"/>
        <charset val="129"/>
      </rPr>
      <t>텍스트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크기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</si>
  <si>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39 - </t>
    </r>
    <r>
      <rPr>
        <sz val="10"/>
        <color rgb="FF1F2937"/>
        <rFont val="돋움"/>
        <family val="3"/>
        <charset val="129"/>
      </rPr>
      <t>텍스트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크기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메뉴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</si>
  <si>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40 - </t>
    </r>
    <r>
      <rPr>
        <sz val="10"/>
        <color rgb="FF1F2937"/>
        <rFont val="돋움"/>
        <family val="3"/>
        <charset val="129"/>
      </rPr>
      <t>텍스트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크기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메뉴</t>
    </r>
    <phoneticPr fontId="5" type="noConversion"/>
  </si>
  <si>
    <t>힌트보기</t>
    <phoneticPr fontId="5" type="noConversion"/>
  </si>
  <si>
    <t>미나미</t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</si>
  <si>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7 - </t>
    </r>
    <r>
      <rPr>
        <sz val="10"/>
        <color rgb="FF1F2937"/>
        <rFont val="돋움"/>
        <family val="3"/>
        <charset val="129"/>
      </rPr>
      <t>사용자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지정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카드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식별</t>
    </r>
    <phoneticPr fontId="5" type="noConversion"/>
  </si>
  <si>
    <r>
      <rPr>
        <sz val="10"/>
        <color rgb="FF1F2937"/>
        <rFont val="돋움"/>
        <family val="3"/>
        <charset val="129"/>
      </rPr>
      <t>밝고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호기심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많은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친구형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</si>
  <si>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8 -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소개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문구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표시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</si>
  <si>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9 -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</si>
  <si>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9 -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상태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반영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대기</t>
    </r>
    <phoneticPr fontId="5" type="noConversion"/>
  </si>
  <si>
    <t>미나미</t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</si>
  <si>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10 -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카드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활성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상태</t>
    </r>
    <phoneticPr fontId="5" type="noConversion"/>
  </si>
  <si>
    <t>미나미</t>
    <phoneticPr fontId="5" type="noConversion"/>
  </si>
  <si>
    <t>미나미</t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</si>
  <si>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16 - </t>
    </r>
    <r>
      <rPr>
        <sz val="10"/>
        <color rgb="FF1F2937"/>
        <rFont val="돋움"/>
        <family val="3"/>
        <charset val="129"/>
      </rPr>
      <t>주제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문맥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유지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</si>
  <si>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30 -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시작하기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실행</t>
    </r>
    <phoneticPr fontId="5" type="noConversion"/>
  </si>
  <si>
    <r>
      <rPr>
        <sz val="10"/>
        <color rgb="FF1F2937"/>
        <rFont val="돋움"/>
        <family val="3"/>
        <charset val="129"/>
      </rPr>
      <t>대화를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그만할까요</t>
    </r>
    <r>
      <rPr>
        <sz val="10"/>
        <color rgb="FF1F2937"/>
        <rFont val="Carlito"/>
      </rPr>
      <t>?</t>
    </r>
    <phoneticPr fontId="5" type="noConversion"/>
  </si>
  <si>
    <t>계속하기</t>
    <phoneticPr fontId="5" type="noConversion"/>
  </si>
  <si>
    <t>그만하기</t>
    <phoneticPr fontId="5" type="noConversion"/>
  </si>
  <si>
    <t>그만하기</t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</si>
  <si>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41 - </t>
    </r>
    <r>
      <rPr>
        <sz val="10"/>
        <color rgb="FF1F2937"/>
        <rFont val="돋움"/>
        <family val="3"/>
        <charset val="129"/>
      </rPr>
      <t>말해보세요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녹음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시작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</si>
  <si>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42 - </t>
    </r>
    <r>
      <rPr>
        <sz val="10"/>
        <color rgb="FF1F2937"/>
        <rFont val="돋움"/>
        <family val="3"/>
        <charset val="129"/>
      </rPr>
      <t>녹음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상태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표시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</si>
  <si>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43 - </t>
    </r>
    <r>
      <rPr>
        <sz val="10"/>
        <color rgb="FF1F2937"/>
        <rFont val="돋움"/>
        <family val="3"/>
        <charset val="129"/>
      </rPr>
      <t>음성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입력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</si>
  <si>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44 - </t>
    </r>
    <r>
      <rPr>
        <sz val="10"/>
        <color rgb="FF1F2937"/>
        <rFont val="돋움"/>
        <family val="3"/>
        <charset val="129"/>
      </rPr>
      <t>음성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입력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</si>
  <si>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45 - </t>
    </r>
    <r>
      <rPr>
        <sz val="10"/>
        <color rgb="FF1F2937"/>
        <rFont val="돋움"/>
        <family val="3"/>
        <charset val="129"/>
      </rPr>
      <t>힌트보기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</si>
  <si>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46 - </t>
    </r>
    <r>
      <rPr>
        <sz val="10"/>
        <color rgb="FF1F2937"/>
        <rFont val="돋움"/>
        <family val="3"/>
        <charset val="129"/>
      </rPr>
      <t>힌트보기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닫기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</si>
  <si>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47 - </t>
    </r>
    <r>
      <rPr>
        <sz val="10"/>
        <color rgb="FF1F2937"/>
        <rFont val="돋움"/>
        <family val="3"/>
        <charset val="129"/>
      </rPr>
      <t>안전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r>
      <rPr>
        <sz val="10"/>
        <color rgb="FF1F2937"/>
        <rFont val="Carlito"/>
      </rPr>
      <t xml:space="preserve">: </t>
    </r>
    <r>
      <rPr>
        <sz val="10"/>
        <color rgb="FF1F2937"/>
        <rFont val="돋움"/>
        <family val="3"/>
        <charset val="129"/>
      </rPr>
      <t>튜터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화면으로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</si>
  <si>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48 - </t>
    </r>
    <r>
      <rPr>
        <sz val="10"/>
        <color rgb="FF1F2937"/>
        <rFont val="돋움"/>
        <family val="3"/>
        <charset val="129"/>
      </rPr>
      <t>튜터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대기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</si>
  <si>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49 -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팝업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</si>
  <si>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50 - </t>
    </r>
    <r>
      <rPr>
        <sz val="10"/>
        <color rgb="FF1F2937"/>
        <rFont val="돋움"/>
        <family val="3"/>
        <charset val="129"/>
      </rPr>
      <t>팝업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취소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</si>
  <si>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20 - </t>
    </r>
    <r>
      <rPr>
        <sz val="10"/>
        <color rgb="FF1F2937"/>
        <rFont val="돋움"/>
        <family val="3"/>
        <charset val="129"/>
      </rPr>
      <t>고바야시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</si>
  <si>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51 - </t>
    </r>
    <r>
      <rPr>
        <sz val="10"/>
        <color rgb="FF1F2937"/>
        <rFont val="돋움"/>
        <family val="3"/>
        <charset val="129"/>
      </rPr>
      <t>안전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r>
      <rPr>
        <sz val="10"/>
        <color rgb="FF1F2937"/>
        <rFont val="Carlito"/>
      </rPr>
      <t xml:space="preserve">: </t>
    </r>
    <r>
      <rPr>
        <sz val="10"/>
        <color rgb="FF1F2937"/>
        <rFont val="돋움"/>
        <family val="3"/>
        <charset val="129"/>
      </rPr>
      <t>홈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화면으로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</si>
  <si>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52 - </t>
    </r>
    <r>
      <rPr>
        <sz val="10"/>
        <color rgb="FF1F2937"/>
        <rFont val="돋움"/>
        <family val="3"/>
        <charset val="129"/>
      </rPr>
      <t>튜터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대기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</si>
  <si>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53 -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팝업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</si>
  <si>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54 -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그만하기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</si>
  <si>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55 - </t>
    </r>
    <r>
      <rPr>
        <sz val="10"/>
        <color rgb="FF1F2937"/>
        <rFont val="돋움"/>
        <family val="3"/>
        <charset val="129"/>
      </rPr>
      <t>안전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r>
      <rPr>
        <sz val="10"/>
        <color rgb="FF1F2937"/>
        <rFont val="Carlito"/>
      </rPr>
      <t xml:space="preserve">: </t>
    </r>
    <r>
      <rPr>
        <sz val="10"/>
        <color rgb="FF1F2937"/>
        <rFont val="돋움"/>
        <family val="3"/>
        <charset val="129"/>
      </rPr>
      <t>홈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화면으로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</si>
  <si>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56 - </t>
    </r>
    <r>
      <rPr>
        <sz val="10"/>
        <color rgb="FF1F2937"/>
        <rFont val="돋움"/>
        <family val="3"/>
        <charset val="129"/>
      </rPr>
      <t>홈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대기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</si>
  <si>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57 - </t>
    </r>
    <r>
      <rPr>
        <sz val="10"/>
        <color rgb="FF1F2937"/>
        <rFont val="돋움"/>
        <family val="3"/>
        <charset val="129"/>
      </rPr>
      <t>홈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후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카드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표시</t>
    </r>
    <phoneticPr fontId="5" type="noConversion"/>
  </si>
  <si>
    <t>해석끄기</t>
    <phoneticPr fontId="5" type="noConversion"/>
  </si>
  <si>
    <t>해석끄기</t>
    <phoneticPr fontId="5" type="noConversion"/>
  </si>
  <si>
    <t>힌트끄기</t>
    <phoneticPr fontId="5" type="noConversion"/>
  </si>
  <si>
    <t>힌트끄기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</si>
</sst>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\ hh:mm"/>
    <numFmt numFmtId="177" formatCode="0.0%"/>
  </numFmts>
  <fonts count="17">
    <font>
      <sz val="11"/>
      <name val="Carlito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name val="Carlito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5"/>
      <color rgb="FFFFFFFF"/>
      <name val="Carlito"/>
    </font>
    <font>
      <i/>
      <sz val="10"/>
      <color rgb="FF374151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0"/>
      <color rgb="FF1E3A8A"/>
      <name val="Carlito"/>
    </font>
    <font>
      <b/>
      <sz val="10"/>
      <color rgb="FF166534"/>
      <name val="Carlito"/>
    </font>
    <font>
      <b/>
      <sz val="10"/>
      <color rgb="FF92400E"/>
      <name val="Carlito"/>
    </font>
    <font>
      <b/>
      <sz val="10"/>
      <color rgb="FF991B1B"/>
      <name val="Carlito"/>
    </font>
    <font>
      <sz val="10"/>
      <color rgb="FF000000"/>
      <name val="돋움"/>
      <family val="3"/>
    </font>
    <font>
      <sz val="10"/>
      <color rgb="FF1F2937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434343"/>
      </patternFill>
    </fill>
    <fill>
      <patternFill patternType="solid">
        <fgColor rgb="FF000000"/>
      </patternFill>
    </fill>
    <fill>
      <patternFill patternType="solid">
        <fgColor rgb="FFF3F4F6"/>
      </patternFill>
    </fill>
    <fill>
      <patternFill patternType="solid">
        <fgColor rgb="FF444444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2" fillId="3" borderId="1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vertical="center" wrapText="1"/>
    </xf>
    <xf numFmtId="0" fontId="3" fillId="0" borderId="2" xfId="1" applyNumberFormat="1" applyFont="1" applyFill="1" applyBorder="1" applyAlignment="1">
      <alignment horizontal="left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176" fontId="3" fillId="0" borderId="2" xfId="1" applyNumberFormat="1" applyFont="1" applyFill="1" applyBorder="1" applyAlignment="1">
      <alignment horizontal="center" vertical="center" wrapText="1"/>
    </xf>
    <xf numFmtId="177" fontId="3" fillId="0" borderId="2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left" vertical="center" wrapText="1"/>
    </xf>
    <xf numFmtId="0" fontId="6" fillId="0" borderId="2" xfId="1" applyNumberFormat="1" applyFont="1" applyFill="1" applyBorder="1" applyAlignment="1">
      <alignment vertical="center" wrapText="1"/>
    </xf>
    <xf numFmtId="0" fontId="9" fillId="6" borderId="0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11" fillId="7" borderId="3" xfId="0" applyNumberFormat="1" applyFont="1" applyFill="1" applyBorder="1" applyAlignment="1">
      <alignment horizontal="center" vertical="center" wrapText="1"/>
    </xf>
    <xf numFmtId="0" fontId="12" fillId="8" borderId="3" xfId="0" applyNumberFormat="1" applyFont="1" applyFill="1" applyBorder="1" applyAlignment="1">
      <alignment horizontal="center" vertical="center" wrapText="1"/>
    </xf>
    <xf numFmtId="0" fontId="13" fillId="9" borderId="3" xfId="0" applyNumberFormat="1" applyFont="1" applyFill="1" applyBorder="1" applyAlignment="1">
      <alignment horizontal="center" vertical="center" wrapText="1"/>
    </xf>
    <xf numFmtId="0" fontId="14" fillId="10" borderId="3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7" fillId="4" borderId="0" xfId="0" applyNumberFormat="1" applyFont="1" applyFill="1" applyBorder="1" applyAlignment="1">
      <alignment horizontal="center" vertical="center"/>
    </xf>
    <xf numFmtId="0" fontId="8" fillId="5" borderId="0" xfId="0" applyNumberFormat="1" applyFont="1" applyFill="1" applyBorder="1" applyAlignment="1">
      <alignment vertical="center" wrapText="1"/>
    </xf>
  </cellXfs>
  <cellStyles count="2">
    <cellStyle name="Normal" xfId="1"/>
    <cellStyle name="표준" xfId="0" builtinId="0"/>
  </cellStyles>
  <dxfs count="4">
    <dxf>
      <font>
        <b/>
        <color rgb="FF073763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FreeTalkAutomationSteps" displayName="FreeTalkAutomationSteps" ref="A4:K72" totalsRowShown="0">
  <tableColumns count="11">
    <tableColumn id="1" name="Step"/>
    <tableColumn id="2" name="Enabled"/>
    <tableColumn id="3" name="Action"/>
    <tableColumn id="4" name="Target"/>
    <tableColumn id="5" name="Value"/>
    <tableColumn id="6" name="Expected"/>
    <tableColumn id="7" name="Wait ms"/>
    <tableColumn id="8" name="Description"/>
    <tableColumn id="9" name="Source Row"/>
    <tableColumn id="10" name="Priority"/>
    <tableColumn id="11" name="Block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showGridLines="0" workbookViewId="0"/>
  </sheetViews>
  <sheetFormatPr defaultRowHeight="14.25"/>
  <cols>
    <col min="1" max="1" width="2" customWidth="1"/>
    <col min="2" max="2" width="22" customWidth="1"/>
    <col min="3" max="8" width="12" customWidth="1"/>
  </cols>
  <sheetData>
    <row r="1" spans="2:8" ht="27.95" customHeight="1">
      <c r="B1" s="17" t="s">
        <v>0</v>
      </c>
      <c r="C1" s="17"/>
      <c r="D1" s="17"/>
      <c r="E1" s="17"/>
      <c r="F1" s="17"/>
      <c r="G1" s="17"/>
      <c r="H1" s="17"/>
    </row>
    <row r="3" spans="2:8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2:8">
      <c r="B4" s="2" t="s">
        <v>8</v>
      </c>
      <c r="C4" s="4">
        <f>COUNTA('프리톡 화면'!$D$3:$D$46)</f>
        <v>44</v>
      </c>
      <c r="D4" s="4">
        <f>COUNTIF('프리톡 화면'!$L$3:$L$46,"PASS")</f>
        <v>0</v>
      </c>
      <c r="E4" s="4">
        <f>COUNTIF('프리톡 화면'!$L$3:$L$46,"FAIL")</f>
        <v>0</v>
      </c>
      <c r="F4" s="4">
        <f>COUNTIF('프리톡 화면'!$L$3:$L$46,"BLOCK")</f>
        <v>0</v>
      </c>
      <c r="G4" s="4">
        <f>COUNTIF('프리톡 화면'!$L$3:$L$46,"N/A")</f>
        <v>0</v>
      </c>
      <c r="H4" s="6">
        <f>IF(C4=0,0,SUM(D4:G4)/C4)</f>
        <v>0</v>
      </c>
    </row>
    <row r="7" spans="2:8">
      <c r="B7" s="18" t="s">
        <v>9</v>
      </c>
      <c r="C7" s="18"/>
      <c r="D7" s="18"/>
      <c r="E7" s="18"/>
      <c r="F7" s="18"/>
      <c r="G7" s="18"/>
      <c r="H7" s="18"/>
    </row>
    <row r="8" spans="2:8" ht="33.950000000000003" customHeight="1">
      <c r="B8" s="19" t="s">
        <v>10</v>
      </c>
      <c r="C8" s="19"/>
      <c r="D8" s="19"/>
      <c r="E8" s="19"/>
      <c r="F8" s="19"/>
      <c r="G8" s="19"/>
      <c r="H8" s="19"/>
    </row>
    <row r="9" spans="2:8" ht="33.950000000000003" customHeight="1">
      <c r="B9" s="19" t="s">
        <v>11</v>
      </c>
      <c r="C9" s="19"/>
      <c r="D9" s="19"/>
      <c r="E9" s="19"/>
      <c r="F9" s="19"/>
      <c r="G9" s="19"/>
      <c r="H9" s="19"/>
    </row>
    <row r="10" spans="2:8" ht="50.1" customHeight="1">
      <c r="B10" s="19" t="s">
        <v>12</v>
      </c>
      <c r="C10" s="19"/>
      <c r="D10" s="19"/>
      <c r="E10" s="19"/>
      <c r="F10" s="19"/>
      <c r="G10" s="19"/>
      <c r="H10" s="19"/>
    </row>
  </sheetData>
  <mergeCells count="5">
    <mergeCell ref="B1:H1"/>
    <mergeCell ref="B7:H7"/>
    <mergeCell ref="B8:H8"/>
    <mergeCell ref="B9:H9"/>
    <mergeCell ref="B10:H10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"/>
  <sheetViews>
    <sheetView showGridLines="0" workbookViewId="0"/>
  </sheetViews>
  <sheetFormatPr defaultRowHeight="14.25"/>
  <cols>
    <col min="1" max="1" width="2" customWidth="1"/>
    <col min="2" max="2" width="14" customWidth="1"/>
    <col min="3" max="3" width="17" customWidth="1"/>
    <col min="4" max="4" width="18" customWidth="1"/>
    <col min="5" max="5" width="19" customWidth="1"/>
    <col min="6" max="6" width="18" customWidth="1"/>
    <col min="7" max="7" width="17" customWidth="1"/>
    <col min="8" max="9" width="12" customWidth="1"/>
    <col min="10" max="10" width="55" customWidth="1"/>
    <col min="11" max="11" width="9" customWidth="1"/>
    <col min="12" max="12" width="10" customWidth="1"/>
    <col min="13" max="13" width="15" customWidth="1"/>
    <col min="14" max="14" width="16" customWidth="1"/>
    <col min="15" max="15" width="42" customWidth="1"/>
  </cols>
  <sheetData>
    <row r="1" spans="2:15" ht="27.95" customHeight="1">
      <c r="B1" s="17" t="s">
        <v>13</v>
      </c>
      <c r="C1" s="17"/>
      <c r="D1" s="17"/>
      <c r="E1" s="17"/>
      <c r="F1" s="17"/>
      <c r="G1" s="17"/>
      <c r="H1" s="17"/>
      <c r="I1" s="17"/>
      <c r="J1" s="17"/>
      <c r="K1" s="17"/>
      <c r="L1" s="17" t="s">
        <v>14</v>
      </c>
      <c r="M1" s="17"/>
      <c r="N1" s="17"/>
      <c r="O1" s="17"/>
    </row>
    <row r="2" spans="2:15" ht="24" customHeight="1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2:15" ht="38.25">
      <c r="B3" s="20" t="s">
        <v>8</v>
      </c>
      <c r="C3" s="20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/>
      <c r="I3" s="3" t="s">
        <v>34</v>
      </c>
      <c r="J3" s="2" t="s">
        <v>35</v>
      </c>
      <c r="K3" s="4">
        <v>1</v>
      </c>
      <c r="L3" s="4"/>
      <c r="M3" s="5"/>
      <c r="N3" s="2"/>
      <c r="O3" s="2" t="s">
        <v>36</v>
      </c>
    </row>
    <row r="4" spans="2:15" ht="38.25">
      <c r="B4" s="20" t="s">
        <v>8</v>
      </c>
      <c r="C4" s="20" t="s">
        <v>29</v>
      </c>
      <c r="D4" s="3" t="s">
        <v>30</v>
      </c>
      <c r="E4" s="3" t="s">
        <v>37</v>
      </c>
      <c r="F4" s="3" t="s">
        <v>32</v>
      </c>
      <c r="G4" s="3" t="s">
        <v>38</v>
      </c>
      <c r="H4" s="3"/>
      <c r="I4" s="3" t="s">
        <v>34</v>
      </c>
      <c r="J4" s="2" t="s">
        <v>39</v>
      </c>
      <c r="K4" s="4">
        <v>2</v>
      </c>
      <c r="L4" s="4"/>
      <c r="M4" s="5"/>
      <c r="N4" s="2"/>
      <c r="O4" s="2" t="s">
        <v>36</v>
      </c>
    </row>
    <row r="5" spans="2:15" ht="38.25">
      <c r="B5" s="20" t="s">
        <v>8</v>
      </c>
      <c r="C5" s="20" t="s">
        <v>29</v>
      </c>
      <c r="D5" s="3" t="s">
        <v>30</v>
      </c>
      <c r="E5" s="3" t="s">
        <v>40</v>
      </c>
      <c r="F5" s="3" t="s">
        <v>32</v>
      </c>
      <c r="G5" s="3" t="s">
        <v>41</v>
      </c>
      <c r="H5" s="3" t="s">
        <v>42</v>
      </c>
      <c r="I5" s="3" t="s">
        <v>34</v>
      </c>
      <c r="J5" s="2" t="s">
        <v>43</v>
      </c>
      <c r="K5" s="4">
        <v>1</v>
      </c>
      <c r="L5" s="4"/>
      <c r="M5" s="5"/>
      <c r="N5" s="2"/>
      <c r="O5" s="2" t="s">
        <v>44</v>
      </c>
    </row>
    <row r="6" spans="2:15" ht="38.25">
      <c r="B6" s="20" t="s">
        <v>8</v>
      </c>
      <c r="C6" s="20" t="s">
        <v>45</v>
      </c>
      <c r="D6" s="3" t="s">
        <v>46</v>
      </c>
      <c r="E6" s="3" t="s">
        <v>47</v>
      </c>
      <c r="F6" s="3" t="s">
        <v>32</v>
      </c>
      <c r="G6" s="3" t="s">
        <v>48</v>
      </c>
      <c r="H6" s="3" t="s">
        <v>49</v>
      </c>
      <c r="I6" s="3" t="s">
        <v>34</v>
      </c>
      <c r="J6" s="2" t="s">
        <v>50</v>
      </c>
      <c r="K6" s="4">
        <v>1</v>
      </c>
      <c r="L6" s="4"/>
      <c r="M6" s="5"/>
      <c r="N6" s="2"/>
      <c r="O6" s="2" t="s">
        <v>51</v>
      </c>
    </row>
    <row r="7" spans="2:15" ht="38.25">
      <c r="B7" s="20" t="s">
        <v>8</v>
      </c>
      <c r="C7" s="20" t="s">
        <v>45</v>
      </c>
      <c r="D7" s="3" t="s">
        <v>46</v>
      </c>
      <c r="E7" s="3" t="s">
        <v>52</v>
      </c>
      <c r="F7" s="3" t="s">
        <v>32</v>
      </c>
      <c r="G7" s="3" t="s">
        <v>53</v>
      </c>
      <c r="H7" s="3" t="s">
        <v>49</v>
      </c>
      <c r="I7" s="3" t="s">
        <v>54</v>
      </c>
      <c r="J7" s="2" t="s">
        <v>55</v>
      </c>
      <c r="K7" s="4">
        <v>1</v>
      </c>
      <c r="L7" s="4"/>
      <c r="M7" s="5"/>
      <c r="N7" s="2"/>
      <c r="O7" s="2" t="s">
        <v>51</v>
      </c>
    </row>
    <row r="8" spans="2:15" ht="38.25">
      <c r="B8" s="20" t="s">
        <v>8</v>
      </c>
      <c r="C8" s="20" t="s">
        <v>45</v>
      </c>
      <c r="D8" s="3" t="s">
        <v>46</v>
      </c>
      <c r="E8" s="3" t="s">
        <v>56</v>
      </c>
      <c r="F8" s="3" t="s">
        <v>32</v>
      </c>
      <c r="G8" s="3" t="s">
        <v>57</v>
      </c>
      <c r="H8" s="3" t="s">
        <v>49</v>
      </c>
      <c r="I8" s="3" t="s">
        <v>34</v>
      </c>
      <c r="J8" s="2" t="s">
        <v>58</v>
      </c>
      <c r="K8" s="4">
        <v>2</v>
      </c>
      <c r="L8" s="4"/>
      <c r="M8" s="5"/>
      <c r="N8" s="2"/>
      <c r="O8" s="2" t="s">
        <v>59</v>
      </c>
    </row>
    <row r="9" spans="2:15" ht="63.95" customHeight="1">
      <c r="B9" s="20" t="s">
        <v>8</v>
      </c>
      <c r="C9" s="20" t="s">
        <v>45</v>
      </c>
      <c r="D9" s="3" t="s">
        <v>60</v>
      </c>
      <c r="E9" s="3" t="s">
        <v>61</v>
      </c>
      <c r="F9" s="3" t="s">
        <v>32</v>
      </c>
      <c r="G9" s="3" t="s">
        <v>62</v>
      </c>
      <c r="H9" s="3" t="s">
        <v>60</v>
      </c>
      <c r="I9" s="3" t="s">
        <v>54</v>
      </c>
      <c r="J9" s="2" t="s">
        <v>63</v>
      </c>
      <c r="K9" s="4">
        <v>1</v>
      </c>
      <c r="L9" s="4"/>
      <c r="M9" s="5"/>
      <c r="N9" s="2"/>
      <c r="O9" s="2" t="s">
        <v>51</v>
      </c>
    </row>
    <row r="10" spans="2:15" ht="63.95" customHeight="1">
      <c r="B10" s="20" t="s">
        <v>8</v>
      </c>
      <c r="C10" s="20" t="s">
        <v>45</v>
      </c>
      <c r="D10" s="3" t="s">
        <v>60</v>
      </c>
      <c r="E10" s="3" t="s">
        <v>64</v>
      </c>
      <c r="F10" s="3" t="s">
        <v>32</v>
      </c>
      <c r="G10" s="3" t="s">
        <v>65</v>
      </c>
      <c r="H10" s="3" t="s">
        <v>66</v>
      </c>
      <c r="I10" s="3" t="s">
        <v>34</v>
      </c>
      <c r="J10" s="2" t="s">
        <v>67</v>
      </c>
      <c r="K10" s="4">
        <v>1</v>
      </c>
      <c r="L10" s="4"/>
      <c r="M10" s="5"/>
      <c r="N10" s="2"/>
      <c r="O10" s="2" t="s">
        <v>51</v>
      </c>
    </row>
    <row r="11" spans="2:15" ht="63.95" customHeight="1">
      <c r="B11" s="20" t="s">
        <v>8</v>
      </c>
      <c r="C11" s="20" t="s">
        <v>45</v>
      </c>
      <c r="D11" s="3" t="s">
        <v>60</v>
      </c>
      <c r="E11" s="3" t="s">
        <v>68</v>
      </c>
      <c r="F11" s="3" t="s">
        <v>32</v>
      </c>
      <c r="G11" s="3" t="s">
        <v>69</v>
      </c>
      <c r="H11" s="3" t="s">
        <v>66</v>
      </c>
      <c r="I11" s="3" t="s">
        <v>54</v>
      </c>
      <c r="J11" s="2" t="s">
        <v>70</v>
      </c>
      <c r="K11" s="4">
        <v>1</v>
      </c>
      <c r="L11" s="4"/>
      <c r="M11" s="5"/>
      <c r="N11" s="2"/>
      <c r="O11" s="2" t="s">
        <v>59</v>
      </c>
    </row>
    <row r="12" spans="2:15" ht="63.95" customHeight="1">
      <c r="B12" s="20" t="s">
        <v>8</v>
      </c>
      <c r="C12" s="20" t="s">
        <v>45</v>
      </c>
      <c r="D12" s="3" t="s">
        <v>71</v>
      </c>
      <c r="E12" s="3" t="s">
        <v>72</v>
      </c>
      <c r="F12" s="3" t="s">
        <v>32</v>
      </c>
      <c r="G12" s="3" t="s">
        <v>73</v>
      </c>
      <c r="H12" s="3" t="s">
        <v>66</v>
      </c>
      <c r="I12" s="3" t="s">
        <v>54</v>
      </c>
      <c r="J12" s="2" t="s">
        <v>74</v>
      </c>
      <c r="K12" s="4">
        <v>1</v>
      </c>
      <c r="L12" s="4"/>
      <c r="M12" s="5"/>
      <c r="N12" s="2"/>
      <c r="O12" s="2" t="s">
        <v>75</v>
      </c>
    </row>
    <row r="13" spans="2:15" ht="63.95" customHeight="1">
      <c r="B13" s="20" t="s">
        <v>8</v>
      </c>
      <c r="C13" s="20" t="s">
        <v>45</v>
      </c>
      <c r="D13" s="3" t="s">
        <v>71</v>
      </c>
      <c r="E13" s="3" t="s">
        <v>76</v>
      </c>
      <c r="F13" s="3" t="s">
        <v>32</v>
      </c>
      <c r="G13" s="3" t="s">
        <v>77</v>
      </c>
      <c r="H13" s="3" t="s">
        <v>66</v>
      </c>
      <c r="I13" s="3" t="s">
        <v>34</v>
      </c>
      <c r="J13" s="2" t="s">
        <v>78</v>
      </c>
      <c r="K13" s="4">
        <v>2</v>
      </c>
      <c r="L13" s="4"/>
      <c r="M13" s="5"/>
      <c r="N13" s="2"/>
      <c r="O13" s="2" t="s">
        <v>75</v>
      </c>
    </row>
    <row r="14" spans="2:15" ht="63.95" customHeight="1">
      <c r="B14" s="20" t="s">
        <v>8</v>
      </c>
      <c r="C14" s="20" t="s">
        <v>45</v>
      </c>
      <c r="D14" s="3" t="s">
        <v>71</v>
      </c>
      <c r="E14" s="3" t="s">
        <v>79</v>
      </c>
      <c r="F14" s="3" t="s">
        <v>32</v>
      </c>
      <c r="G14" s="3" t="s">
        <v>80</v>
      </c>
      <c r="H14" s="3" t="s">
        <v>81</v>
      </c>
      <c r="I14" s="3" t="s">
        <v>54</v>
      </c>
      <c r="J14" s="2" t="s">
        <v>82</v>
      </c>
      <c r="K14" s="4">
        <v>1</v>
      </c>
      <c r="L14" s="4"/>
      <c r="M14" s="5"/>
      <c r="N14" s="2"/>
      <c r="O14" s="2" t="s">
        <v>83</v>
      </c>
    </row>
    <row r="15" spans="2:15" ht="63.95" customHeight="1">
      <c r="B15" s="20" t="s">
        <v>8</v>
      </c>
      <c r="C15" s="20" t="s">
        <v>84</v>
      </c>
      <c r="D15" s="3" t="s">
        <v>85</v>
      </c>
      <c r="E15" s="3" t="s">
        <v>86</v>
      </c>
      <c r="F15" s="3" t="s">
        <v>32</v>
      </c>
      <c r="G15" s="3" t="s">
        <v>87</v>
      </c>
      <c r="H15" s="3" t="s">
        <v>66</v>
      </c>
      <c r="I15" s="3" t="s">
        <v>34</v>
      </c>
      <c r="J15" s="2" t="s">
        <v>88</v>
      </c>
      <c r="K15" s="4">
        <v>1</v>
      </c>
      <c r="L15" s="4"/>
      <c r="M15" s="5"/>
      <c r="N15" s="2"/>
      <c r="O15" s="2" t="s">
        <v>89</v>
      </c>
    </row>
    <row r="16" spans="2:15" ht="63.95" customHeight="1">
      <c r="B16" s="20" t="s">
        <v>8</v>
      </c>
      <c r="C16" s="20" t="s">
        <v>84</v>
      </c>
      <c r="D16" s="3" t="s">
        <v>85</v>
      </c>
      <c r="E16" s="3" t="s">
        <v>90</v>
      </c>
      <c r="F16" s="3" t="s">
        <v>32</v>
      </c>
      <c r="G16" s="3" t="s">
        <v>91</v>
      </c>
      <c r="H16" s="3" t="s">
        <v>66</v>
      </c>
      <c r="I16" s="3" t="s">
        <v>54</v>
      </c>
      <c r="J16" s="2" t="s">
        <v>92</v>
      </c>
      <c r="K16" s="4">
        <v>1</v>
      </c>
      <c r="L16" s="4"/>
      <c r="M16" s="5"/>
      <c r="N16" s="2"/>
      <c r="O16" s="2" t="s">
        <v>89</v>
      </c>
    </row>
    <row r="17" spans="2:15" ht="63.95" customHeight="1">
      <c r="B17" s="20"/>
      <c r="C17" s="20"/>
      <c r="D17" s="3" t="s">
        <v>85</v>
      </c>
      <c r="E17" s="3" t="s">
        <v>93</v>
      </c>
      <c r="F17" s="3"/>
      <c r="G17" s="3"/>
      <c r="H17" s="3" t="s">
        <v>94</v>
      </c>
      <c r="I17" s="3" t="s">
        <v>54</v>
      </c>
      <c r="J17" s="2" t="s">
        <v>95</v>
      </c>
      <c r="K17" s="4">
        <v>1</v>
      </c>
      <c r="L17" s="4"/>
      <c r="M17" s="5"/>
      <c r="N17" s="2"/>
      <c r="O17" s="2"/>
    </row>
    <row r="18" spans="2:15" ht="63.95" customHeight="1">
      <c r="B18" s="20"/>
      <c r="C18" s="20"/>
      <c r="D18" s="3" t="s">
        <v>85</v>
      </c>
      <c r="E18" s="3" t="s">
        <v>93</v>
      </c>
      <c r="F18" s="3"/>
      <c r="G18" s="3"/>
      <c r="H18" s="3" t="s">
        <v>94</v>
      </c>
      <c r="I18" s="3" t="s">
        <v>54</v>
      </c>
      <c r="J18" s="2" t="s">
        <v>96</v>
      </c>
      <c r="K18" s="4">
        <v>1</v>
      </c>
      <c r="L18" s="4"/>
      <c r="M18" s="5"/>
      <c r="N18" s="2"/>
      <c r="O18" s="2"/>
    </row>
    <row r="19" spans="2:15" ht="63.95" customHeight="1">
      <c r="B19" s="20"/>
      <c r="C19" s="20"/>
      <c r="D19" s="3" t="s">
        <v>85</v>
      </c>
      <c r="E19" s="3" t="s">
        <v>93</v>
      </c>
      <c r="F19" s="3"/>
      <c r="G19" s="3"/>
      <c r="H19" s="7" t="s">
        <v>97</v>
      </c>
      <c r="I19" s="3" t="s">
        <v>54</v>
      </c>
      <c r="J19" s="2" t="s">
        <v>82</v>
      </c>
      <c r="K19" s="4">
        <v>1</v>
      </c>
      <c r="L19" s="4"/>
      <c r="M19" s="5"/>
      <c r="N19" s="2"/>
      <c r="O19" s="2"/>
    </row>
    <row r="20" spans="2:15" ht="63.95" customHeight="1">
      <c r="B20" s="20" t="s">
        <v>8</v>
      </c>
      <c r="C20" s="20" t="s">
        <v>84</v>
      </c>
      <c r="D20" s="3" t="s">
        <v>85</v>
      </c>
      <c r="E20" s="3" t="s">
        <v>98</v>
      </c>
      <c r="F20" s="3" t="s">
        <v>32</v>
      </c>
      <c r="G20" s="3" t="s">
        <v>99</v>
      </c>
      <c r="H20" s="3" t="s">
        <v>97</v>
      </c>
      <c r="I20" s="3" t="s">
        <v>34</v>
      </c>
      <c r="J20" s="2" t="s">
        <v>100</v>
      </c>
      <c r="K20" s="4">
        <v>1</v>
      </c>
      <c r="L20" s="4"/>
      <c r="M20" s="5"/>
      <c r="N20" s="2"/>
      <c r="O20" s="2" t="s">
        <v>101</v>
      </c>
    </row>
    <row r="21" spans="2:15" ht="63.95" customHeight="1">
      <c r="B21" s="20" t="s">
        <v>8</v>
      </c>
      <c r="C21" s="20" t="s">
        <v>84</v>
      </c>
      <c r="D21" s="3" t="s">
        <v>85</v>
      </c>
      <c r="E21" s="3" t="s">
        <v>102</v>
      </c>
      <c r="F21" s="3" t="s">
        <v>32</v>
      </c>
      <c r="G21" s="3" t="s">
        <v>103</v>
      </c>
      <c r="H21" s="3" t="s">
        <v>97</v>
      </c>
      <c r="I21" s="3" t="s">
        <v>34</v>
      </c>
      <c r="J21" s="2" t="s">
        <v>104</v>
      </c>
      <c r="K21" s="4">
        <v>2</v>
      </c>
      <c r="L21" s="4"/>
      <c r="M21" s="5"/>
      <c r="N21" s="2"/>
      <c r="O21" s="2" t="s">
        <v>101</v>
      </c>
    </row>
    <row r="22" spans="2:15" ht="63.95" customHeight="1">
      <c r="B22" s="20" t="s">
        <v>8</v>
      </c>
      <c r="C22" s="20" t="s">
        <v>84</v>
      </c>
      <c r="D22" s="3" t="s">
        <v>84</v>
      </c>
      <c r="E22" s="3" t="s">
        <v>105</v>
      </c>
      <c r="F22" s="3" t="s">
        <v>32</v>
      </c>
      <c r="G22" s="3" t="s">
        <v>106</v>
      </c>
      <c r="H22" s="3" t="s">
        <v>84</v>
      </c>
      <c r="I22" s="3" t="s">
        <v>54</v>
      </c>
      <c r="J22" s="2" t="s">
        <v>107</v>
      </c>
      <c r="K22" s="4">
        <v>1</v>
      </c>
      <c r="L22" s="4"/>
      <c r="M22" s="5"/>
      <c r="N22" s="2"/>
      <c r="O22" s="2" t="s">
        <v>89</v>
      </c>
    </row>
    <row r="23" spans="2:15" ht="63.95" customHeight="1">
      <c r="B23" s="20" t="s">
        <v>8</v>
      </c>
      <c r="C23" s="20" t="s">
        <v>84</v>
      </c>
      <c r="D23" s="3" t="s">
        <v>84</v>
      </c>
      <c r="E23" s="3" t="s">
        <v>64</v>
      </c>
      <c r="F23" s="3" t="s">
        <v>32</v>
      </c>
      <c r="G23" s="3" t="s">
        <v>108</v>
      </c>
      <c r="H23" s="3" t="s">
        <v>109</v>
      </c>
      <c r="I23" s="3" t="s">
        <v>34</v>
      </c>
      <c r="J23" s="2" t="s">
        <v>110</v>
      </c>
      <c r="K23" s="4">
        <v>1</v>
      </c>
      <c r="L23" s="4"/>
      <c r="M23" s="5"/>
      <c r="N23" s="2"/>
      <c r="O23" s="2" t="s">
        <v>89</v>
      </c>
    </row>
    <row r="24" spans="2:15" ht="63.95" customHeight="1">
      <c r="B24" s="20" t="s">
        <v>8</v>
      </c>
      <c r="C24" s="20" t="s">
        <v>84</v>
      </c>
      <c r="D24" s="3" t="s">
        <v>111</v>
      </c>
      <c r="E24" s="3" t="s">
        <v>112</v>
      </c>
      <c r="F24" s="3" t="s">
        <v>32</v>
      </c>
      <c r="G24" s="3" t="s">
        <v>113</v>
      </c>
      <c r="H24" s="3" t="s">
        <v>109</v>
      </c>
      <c r="I24" s="3" t="s">
        <v>54</v>
      </c>
      <c r="J24" s="2" t="s">
        <v>114</v>
      </c>
      <c r="K24" s="4">
        <v>1</v>
      </c>
      <c r="L24" s="4"/>
      <c r="M24" s="5"/>
      <c r="N24" s="2"/>
      <c r="O24" s="2" t="s">
        <v>89</v>
      </c>
    </row>
    <row r="25" spans="2:15" ht="63.95" customHeight="1">
      <c r="B25" s="20" t="s">
        <v>8</v>
      </c>
      <c r="C25" s="20" t="s">
        <v>84</v>
      </c>
      <c r="D25" s="3" t="s">
        <v>111</v>
      </c>
      <c r="E25" s="3" t="s">
        <v>115</v>
      </c>
      <c r="F25" s="3" t="s">
        <v>32</v>
      </c>
      <c r="G25" s="3" t="s">
        <v>116</v>
      </c>
      <c r="H25" s="3" t="s">
        <v>117</v>
      </c>
      <c r="I25" s="3" t="s">
        <v>54</v>
      </c>
      <c r="J25" s="2" t="s">
        <v>118</v>
      </c>
      <c r="K25" s="4">
        <v>1</v>
      </c>
      <c r="L25" s="4"/>
      <c r="M25" s="5"/>
      <c r="N25" s="2"/>
      <c r="O25" s="2" t="s">
        <v>119</v>
      </c>
    </row>
    <row r="26" spans="2:15" ht="63.95" customHeight="1">
      <c r="B26" s="20"/>
      <c r="C26" s="4"/>
      <c r="D26" s="3" t="s">
        <v>120</v>
      </c>
      <c r="E26" s="3" t="s">
        <v>121</v>
      </c>
      <c r="F26" s="3" t="s">
        <v>32</v>
      </c>
      <c r="G26" s="3" t="s">
        <v>122</v>
      </c>
      <c r="H26" s="3" t="s">
        <v>123</v>
      </c>
      <c r="I26" s="3" t="s">
        <v>54</v>
      </c>
      <c r="J26" s="2" t="s">
        <v>124</v>
      </c>
      <c r="K26" s="4">
        <v>1</v>
      </c>
      <c r="L26" s="4"/>
      <c r="M26" s="5"/>
      <c r="N26" s="2"/>
      <c r="O26" s="2"/>
    </row>
    <row r="27" spans="2:15" ht="63.95" customHeight="1">
      <c r="B27" s="20"/>
      <c r="C27" s="4"/>
      <c r="D27" s="3" t="s">
        <v>120</v>
      </c>
      <c r="E27" s="3"/>
      <c r="F27" s="3"/>
      <c r="G27" s="3"/>
      <c r="H27" s="3"/>
      <c r="I27" s="3" t="s">
        <v>54</v>
      </c>
      <c r="J27" s="2" t="s">
        <v>125</v>
      </c>
      <c r="K27" s="4"/>
      <c r="L27" s="4"/>
      <c r="M27" s="5"/>
      <c r="N27" s="2"/>
      <c r="O27" s="2"/>
    </row>
    <row r="28" spans="2:15" ht="63.95" customHeight="1">
      <c r="B28" s="20"/>
      <c r="C28" s="4"/>
      <c r="D28" s="3" t="s">
        <v>120</v>
      </c>
      <c r="E28" s="3" t="s">
        <v>121</v>
      </c>
      <c r="F28" s="3" t="s">
        <v>32</v>
      </c>
      <c r="G28" s="3" t="s">
        <v>122</v>
      </c>
      <c r="H28" s="3" t="s">
        <v>123</v>
      </c>
      <c r="I28" s="3" t="s">
        <v>54</v>
      </c>
      <c r="J28" s="2" t="s">
        <v>126</v>
      </c>
      <c r="K28" s="4"/>
      <c r="L28" s="4"/>
      <c r="M28" s="5"/>
      <c r="N28" s="2"/>
      <c r="O28" s="2"/>
    </row>
    <row r="29" spans="2:15" ht="63.95" customHeight="1">
      <c r="B29" s="20"/>
      <c r="C29" s="4"/>
      <c r="D29" s="3" t="s">
        <v>120</v>
      </c>
      <c r="E29" s="3"/>
      <c r="F29" s="3"/>
      <c r="G29" s="3"/>
      <c r="H29" s="3"/>
      <c r="I29" s="3"/>
      <c r="J29" s="8" t="s">
        <v>127</v>
      </c>
      <c r="K29" s="4"/>
      <c r="L29" s="4"/>
      <c r="M29" s="5"/>
      <c r="N29" s="2"/>
      <c r="O29" s="2"/>
    </row>
    <row r="30" spans="2:15" ht="63.95" customHeight="1">
      <c r="B30" s="20"/>
      <c r="C30" s="4"/>
      <c r="D30" s="3" t="s">
        <v>120</v>
      </c>
      <c r="E30" s="3"/>
      <c r="F30" s="3"/>
      <c r="G30" s="3"/>
      <c r="H30" s="3"/>
      <c r="I30" s="3" t="s">
        <v>54</v>
      </c>
      <c r="J30" s="2" t="s">
        <v>128</v>
      </c>
      <c r="K30" s="4"/>
      <c r="L30" s="4"/>
      <c r="M30" s="5"/>
      <c r="N30" s="2"/>
      <c r="O30" s="2"/>
    </row>
    <row r="31" spans="2:15" ht="63.95" customHeight="1">
      <c r="B31" s="20" t="s">
        <v>8</v>
      </c>
      <c r="C31" s="20" t="s">
        <v>129</v>
      </c>
      <c r="D31" s="3" t="s">
        <v>120</v>
      </c>
      <c r="E31" s="3" t="s">
        <v>121</v>
      </c>
      <c r="F31" s="3" t="s">
        <v>32</v>
      </c>
      <c r="G31" s="3" t="s">
        <v>130</v>
      </c>
      <c r="H31" s="3" t="s">
        <v>131</v>
      </c>
      <c r="I31" s="3" t="s">
        <v>54</v>
      </c>
      <c r="J31" s="2" t="s">
        <v>132</v>
      </c>
      <c r="K31" s="4">
        <v>1</v>
      </c>
      <c r="L31" s="4"/>
      <c r="M31" s="5"/>
      <c r="N31" s="2"/>
      <c r="O31" s="2" t="s">
        <v>119</v>
      </c>
    </row>
    <row r="32" spans="2:15" ht="63.95" customHeight="1">
      <c r="B32" s="20" t="s">
        <v>8</v>
      </c>
      <c r="C32" s="20" t="s">
        <v>129</v>
      </c>
      <c r="D32" s="3" t="s">
        <v>120</v>
      </c>
      <c r="E32" s="3" t="s">
        <v>133</v>
      </c>
      <c r="F32" s="3" t="s">
        <v>32</v>
      </c>
      <c r="G32" s="3" t="s">
        <v>134</v>
      </c>
      <c r="H32" s="3" t="s">
        <v>131</v>
      </c>
      <c r="I32" s="3" t="s">
        <v>34</v>
      </c>
      <c r="J32" s="2" t="s">
        <v>135</v>
      </c>
      <c r="K32" s="4">
        <v>1</v>
      </c>
      <c r="L32" s="4"/>
      <c r="M32" s="5"/>
      <c r="N32" s="2"/>
      <c r="O32" s="2" t="s">
        <v>119</v>
      </c>
    </row>
    <row r="33" spans="2:15" ht="63.95" customHeight="1">
      <c r="B33" s="20" t="s">
        <v>8</v>
      </c>
      <c r="C33" s="20" t="s">
        <v>129</v>
      </c>
      <c r="D33" s="3" t="s">
        <v>136</v>
      </c>
      <c r="E33" s="3" t="s">
        <v>137</v>
      </c>
      <c r="F33" s="3" t="s">
        <v>32</v>
      </c>
      <c r="G33" s="3" t="s">
        <v>138</v>
      </c>
      <c r="H33" s="3" t="s">
        <v>136</v>
      </c>
      <c r="I33" s="3" t="s">
        <v>54</v>
      </c>
      <c r="J33" s="2" t="s">
        <v>139</v>
      </c>
      <c r="K33" s="4">
        <v>1</v>
      </c>
      <c r="L33" s="4"/>
      <c r="M33" s="5"/>
      <c r="N33" s="2"/>
      <c r="O33" s="2" t="s">
        <v>119</v>
      </c>
    </row>
    <row r="34" spans="2:15" ht="63.95" customHeight="1">
      <c r="B34" s="20" t="s">
        <v>8</v>
      </c>
      <c r="C34" s="20" t="s">
        <v>129</v>
      </c>
      <c r="D34" s="3" t="s">
        <v>136</v>
      </c>
      <c r="E34" s="3" t="s">
        <v>140</v>
      </c>
      <c r="F34" s="3" t="s">
        <v>32</v>
      </c>
      <c r="G34" s="3" t="s">
        <v>141</v>
      </c>
      <c r="H34" s="3" t="s">
        <v>142</v>
      </c>
      <c r="I34" s="3" t="s">
        <v>54</v>
      </c>
      <c r="J34" s="2" t="s">
        <v>143</v>
      </c>
      <c r="K34" s="4">
        <v>2</v>
      </c>
      <c r="L34" s="4"/>
      <c r="M34" s="5"/>
      <c r="N34" s="2"/>
      <c r="O34" s="2" t="s">
        <v>119</v>
      </c>
    </row>
    <row r="35" spans="2:15" ht="63.95" customHeight="1">
      <c r="B35" s="20" t="s">
        <v>8</v>
      </c>
      <c r="C35" s="20" t="s">
        <v>129</v>
      </c>
      <c r="D35" s="3" t="s">
        <v>144</v>
      </c>
      <c r="E35" s="3" t="s">
        <v>145</v>
      </c>
      <c r="F35" s="3" t="s">
        <v>32</v>
      </c>
      <c r="G35" s="3" t="s">
        <v>146</v>
      </c>
      <c r="H35" s="3" t="s">
        <v>144</v>
      </c>
      <c r="I35" s="3" t="s">
        <v>54</v>
      </c>
      <c r="J35" s="2" t="s">
        <v>147</v>
      </c>
      <c r="K35" s="4">
        <v>1</v>
      </c>
      <c r="L35" s="4"/>
      <c r="M35" s="5"/>
      <c r="N35" s="2"/>
      <c r="O35" s="2" t="s">
        <v>119</v>
      </c>
    </row>
    <row r="36" spans="2:15" ht="63.95" customHeight="1">
      <c r="B36" s="20"/>
      <c r="C36" s="20"/>
      <c r="D36" s="3" t="s">
        <v>144</v>
      </c>
      <c r="E36" s="3" t="s">
        <v>148</v>
      </c>
      <c r="F36" s="3" t="s">
        <v>32</v>
      </c>
      <c r="G36" s="3" t="s">
        <v>146</v>
      </c>
      <c r="H36" s="7" t="s">
        <v>149</v>
      </c>
      <c r="I36" s="3" t="s">
        <v>54</v>
      </c>
      <c r="J36" s="2" t="s">
        <v>150</v>
      </c>
      <c r="K36" s="4">
        <v>1</v>
      </c>
      <c r="L36" s="4"/>
      <c r="M36" s="5"/>
      <c r="N36" s="2"/>
      <c r="O36" s="2"/>
    </row>
    <row r="37" spans="2:15" ht="63.95" customHeight="1">
      <c r="B37" s="20" t="s">
        <v>8</v>
      </c>
      <c r="C37" s="20" t="s">
        <v>129</v>
      </c>
      <c r="D37" s="3" t="s">
        <v>151</v>
      </c>
      <c r="E37" s="3" t="s">
        <v>152</v>
      </c>
      <c r="F37" s="3" t="s">
        <v>32</v>
      </c>
      <c r="G37" s="3" t="s">
        <v>153</v>
      </c>
      <c r="H37" s="3" t="s">
        <v>154</v>
      </c>
      <c r="I37" s="3" t="s">
        <v>54</v>
      </c>
      <c r="J37" s="2" t="s">
        <v>155</v>
      </c>
      <c r="K37" s="4">
        <v>1</v>
      </c>
      <c r="L37" s="4"/>
      <c r="M37" s="5"/>
      <c r="N37" s="2"/>
      <c r="O37" s="2" t="s">
        <v>119</v>
      </c>
    </row>
    <row r="38" spans="2:15" ht="63.95" customHeight="1">
      <c r="B38" s="20" t="s">
        <v>8</v>
      </c>
      <c r="C38" s="20" t="s">
        <v>129</v>
      </c>
      <c r="D38" s="3" t="s">
        <v>151</v>
      </c>
      <c r="E38" s="3" t="s">
        <v>156</v>
      </c>
      <c r="F38" s="3" t="s">
        <v>32</v>
      </c>
      <c r="G38" s="3" t="s">
        <v>157</v>
      </c>
      <c r="H38" s="3" t="s">
        <v>158</v>
      </c>
      <c r="I38" s="3" t="s">
        <v>34</v>
      </c>
      <c r="J38" s="2" t="s">
        <v>159</v>
      </c>
      <c r="K38" s="4">
        <v>1</v>
      </c>
      <c r="L38" s="4"/>
      <c r="M38" s="5"/>
      <c r="N38" s="2"/>
      <c r="O38" s="2" t="s">
        <v>119</v>
      </c>
    </row>
    <row r="39" spans="2:15" ht="63.95" customHeight="1">
      <c r="B39" s="20" t="s">
        <v>8</v>
      </c>
      <c r="C39" s="20" t="s">
        <v>129</v>
      </c>
      <c r="D39" s="3" t="s">
        <v>160</v>
      </c>
      <c r="E39" s="3" t="s">
        <v>161</v>
      </c>
      <c r="F39" s="3" t="s">
        <v>32</v>
      </c>
      <c r="G39" s="3" t="s">
        <v>162</v>
      </c>
      <c r="H39" s="3" t="s">
        <v>163</v>
      </c>
      <c r="I39" s="3" t="s">
        <v>54</v>
      </c>
      <c r="J39" s="2" t="s">
        <v>164</v>
      </c>
      <c r="K39" s="4">
        <v>1</v>
      </c>
      <c r="L39" s="4"/>
      <c r="M39" s="5"/>
      <c r="N39" s="2"/>
      <c r="O39" s="2" t="s">
        <v>119</v>
      </c>
    </row>
    <row r="40" spans="2:15" ht="63.95" customHeight="1">
      <c r="B40" s="20" t="s">
        <v>8</v>
      </c>
      <c r="C40" s="20" t="s">
        <v>129</v>
      </c>
      <c r="D40" s="3" t="s">
        <v>160</v>
      </c>
      <c r="E40" s="3" t="s">
        <v>165</v>
      </c>
      <c r="F40" s="3" t="s">
        <v>32</v>
      </c>
      <c r="G40" s="3" t="s">
        <v>166</v>
      </c>
      <c r="H40" s="3" t="s">
        <v>167</v>
      </c>
      <c r="I40" s="3" t="s">
        <v>34</v>
      </c>
      <c r="J40" s="2" t="s">
        <v>168</v>
      </c>
      <c r="K40" s="4">
        <v>1</v>
      </c>
      <c r="L40" s="4"/>
      <c r="M40" s="5"/>
      <c r="N40" s="2"/>
      <c r="O40" s="2" t="s">
        <v>119</v>
      </c>
    </row>
    <row r="41" spans="2:15" ht="63.95" customHeight="1">
      <c r="B41" s="20" t="s">
        <v>8</v>
      </c>
      <c r="C41" s="20" t="s">
        <v>129</v>
      </c>
      <c r="D41" s="3" t="s">
        <v>160</v>
      </c>
      <c r="E41" s="3" t="s">
        <v>169</v>
      </c>
      <c r="F41" s="3" t="s">
        <v>32</v>
      </c>
      <c r="G41" s="3" t="s">
        <v>170</v>
      </c>
      <c r="H41" s="7" t="s">
        <v>167</v>
      </c>
      <c r="I41" s="3"/>
      <c r="J41" s="2" t="s">
        <v>171</v>
      </c>
      <c r="K41" s="4">
        <v>1</v>
      </c>
      <c r="L41" s="4"/>
      <c r="M41" s="5"/>
      <c r="N41" s="2"/>
      <c r="O41" s="2" t="s">
        <v>119</v>
      </c>
    </row>
    <row r="42" spans="2:15" ht="63.95" customHeight="1">
      <c r="B42" s="20"/>
      <c r="C42" s="20"/>
      <c r="D42" s="3" t="s">
        <v>160</v>
      </c>
      <c r="E42" s="3" t="s">
        <v>172</v>
      </c>
      <c r="F42" s="3" t="s">
        <v>32</v>
      </c>
      <c r="G42" s="3" t="s">
        <v>173</v>
      </c>
      <c r="H42" s="3" t="s">
        <v>174</v>
      </c>
      <c r="I42" s="3" t="s">
        <v>175</v>
      </c>
      <c r="J42" s="2" t="s">
        <v>176</v>
      </c>
      <c r="K42" s="4">
        <v>1</v>
      </c>
      <c r="L42" s="4"/>
      <c r="M42" s="5"/>
      <c r="N42" s="2"/>
      <c r="O42" s="2"/>
    </row>
    <row r="43" spans="2:15" ht="63.95" customHeight="1">
      <c r="B43" s="20" t="s">
        <v>8</v>
      </c>
      <c r="C43" s="20" t="s">
        <v>129</v>
      </c>
      <c r="D43" s="3" t="s">
        <v>177</v>
      </c>
      <c r="E43" s="3" t="s">
        <v>178</v>
      </c>
      <c r="F43" s="3" t="s">
        <v>32</v>
      </c>
      <c r="G43" s="3" t="s">
        <v>179</v>
      </c>
      <c r="H43" s="3" t="s">
        <v>177</v>
      </c>
      <c r="I43" s="3" t="s">
        <v>54</v>
      </c>
      <c r="J43" s="2" t="s">
        <v>180</v>
      </c>
      <c r="K43" s="4">
        <v>1</v>
      </c>
      <c r="L43" s="4"/>
      <c r="M43" s="5"/>
      <c r="N43" s="2"/>
      <c r="O43" s="2" t="s">
        <v>119</v>
      </c>
    </row>
    <row r="44" spans="2:15" ht="63.95" customHeight="1">
      <c r="B44" s="20" t="s">
        <v>8</v>
      </c>
      <c r="C44" s="20" t="s">
        <v>129</v>
      </c>
      <c r="D44" s="3" t="s">
        <v>177</v>
      </c>
      <c r="E44" s="7" t="s">
        <v>181</v>
      </c>
      <c r="F44" s="3"/>
      <c r="G44" s="3" t="s">
        <v>182</v>
      </c>
      <c r="H44" s="3" t="s">
        <v>177</v>
      </c>
      <c r="I44" s="3" t="s">
        <v>54</v>
      </c>
      <c r="J44" s="2" t="s">
        <v>183</v>
      </c>
      <c r="K44" s="4">
        <v>1</v>
      </c>
      <c r="L44" s="4"/>
      <c r="M44" s="5"/>
      <c r="N44" s="2"/>
      <c r="O44" s="2" t="s">
        <v>119</v>
      </c>
    </row>
    <row r="45" spans="2:15" ht="63.95" customHeight="1">
      <c r="B45" s="20" t="s">
        <v>8</v>
      </c>
      <c r="C45" s="20" t="s">
        <v>129</v>
      </c>
      <c r="D45" s="3" t="s">
        <v>184</v>
      </c>
      <c r="E45" s="3" t="s">
        <v>185</v>
      </c>
      <c r="F45" s="3" t="s">
        <v>32</v>
      </c>
      <c r="G45" s="3" t="s">
        <v>186</v>
      </c>
      <c r="H45" s="3" t="s">
        <v>187</v>
      </c>
      <c r="I45" s="3" t="s">
        <v>54</v>
      </c>
      <c r="J45" s="2" t="s">
        <v>188</v>
      </c>
      <c r="K45" s="4">
        <v>1</v>
      </c>
      <c r="L45" s="4"/>
      <c r="M45" s="5"/>
      <c r="N45" s="2"/>
      <c r="O45" s="2" t="s">
        <v>119</v>
      </c>
    </row>
    <row r="46" spans="2:15" ht="63.95" customHeight="1">
      <c r="B46" s="20" t="s">
        <v>8</v>
      </c>
      <c r="C46" s="20" t="s">
        <v>129</v>
      </c>
      <c r="D46" s="3" t="s">
        <v>184</v>
      </c>
      <c r="E46" s="3" t="s">
        <v>189</v>
      </c>
      <c r="F46" s="3" t="s">
        <v>32</v>
      </c>
      <c r="G46" s="3" t="s">
        <v>190</v>
      </c>
      <c r="H46" s="3" t="s">
        <v>187</v>
      </c>
      <c r="I46" s="3" t="s">
        <v>175</v>
      </c>
      <c r="J46" s="2" t="s">
        <v>191</v>
      </c>
      <c r="K46" s="4">
        <v>1</v>
      </c>
      <c r="L46" s="4"/>
      <c r="M46" s="5"/>
      <c r="N46" s="2"/>
      <c r="O46" s="2" t="s">
        <v>119</v>
      </c>
    </row>
  </sheetData>
  <mergeCells count="7">
    <mergeCell ref="B1:K1"/>
    <mergeCell ref="L1:O1"/>
    <mergeCell ref="B3:B46"/>
    <mergeCell ref="C3:C5"/>
    <mergeCell ref="C6:C14"/>
    <mergeCell ref="C15:C25"/>
    <mergeCell ref="C31:C46"/>
  </mergeCells>
  <phoneticPr fontId="5" type="noConversion"/>
  <conditionalFormatting sqref="L3:L46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"BLOCK"</formula>
    </cfRule>
    <cfRule type="cellIs" dxfId="0" priority="4" operator="equal">
      <formula>"N/A"</formula>
    </cfRule>
  </conditionalFormatting>
  <dataValidations count="1">
    <dataValidation type="list" sqref="L3:L46">
      <formula1>"PASS,FAIL,BLOCK,N/A"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showGridLines="0" tabSelected="1" topLeftCell="A44" workbookViewId="0">
      <selection activeCell="F50" sqref="F50"/>
    </sheetView>
  </sheetViews>
  <sheetFormatPr defaultRowHeight="14.25"/>
  <cols>
    <col min="1" max="1" width="8" customWidth="1"/>
    <col min="2" max="2" width="9" customWidth="1"/>
    <col min="3" max="3" width="14" customWidth="1"/>
    <col min="4" max="4" width="34" customWidth="1"/>
    <col min="5" max="5" width="12" customWidth="1"/>
    <col min="6" max="6" width="34" customWidth="1"/>
    <col min="7" max="7" width="10" customWidth="1"/>
    <col min="8" max="8" width="48" customWidth="1"/>
    <col min="9" max="9" width="12" customWidth="1"/>
    <col min="10" max="10" width="10" customWidth="1"/>
    <col min="11" max="11" width="58" customWidth="1"/>
  </cols>
  <sheetData>
    <row r="1" spans="1:11" ht="27.95" customHeight="1">
      <c r="A1" s="21" t="s">
        <v>192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33.950000000000003" customHeight="1">
      <c r="A2" s="22" t="s">
        <v>193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 ht="24" customHeight="1">
      <c r="A4" s="9" t="s">
        <v>194</v>
      </c>
      <c r="B4" s="9" t="s">
        <v>195</v>
      </c>
      <c r="C4" s="9" t="s">
        <v>196</v>
      </c>
      <c r="D4" s="9" t="s">
        <v>197</v>
      </c>
      <c r="E4" s="9" t="s">
        <v>198</v>
      </c>
      <c r="F4" s="9" t="s">
        <v>199</v>
      </c>
      <c r="G4" s="9" t="s">
        <v>200</v>
      </c>
      <c r="H4" s="9" t="s">
        <v>201</v>
      </c>
      <c r="I4" s="9" t="s">
        <v>202</v>
      </c>
      <c r="J4" s="9" t="s">
        <v>203</v>
      </c>
      <c r="K4" s="9" t="s">
        <v>204</v>
      </c>
    </row>
    <row r="5" spans="1:11" ht="33.950000000000003" customHeight="1">
      <c r="A5" s="10">
        <v>1</v>
      </c>
      <c r="B5" s="10" t="s">
        <v>205</v>
      </c>
      <c r="C5" s="12" t="s">
        <v>206</v>
      </c>
      <c r="D5" s="10" t="s">
        <v>207</v>
      </c>
      <c r="E5" s="10"/>
      <c r="F5" s="10" t="s">
        <v>207</v>
      </c>
      <c r="G5" s="11"/>
      <c r="H5" s="10" t="s">
        <v>208</v>
      </c>
      <c r="I5" s="11">
        <v>3</v>
      </c>
      <c r="J5" s="11">
        <v>1</v>
      </c>
      <c r="K5" s="10"/>
    </row>
    <row r="6" spans="1:11" ht="33.950000000000003" customHeight="1">
      <c r="A6" s="10">
        <v>2</v>
      </c>
      <c r="B6" s="10" t="s">
        <v>205</v>
      </c>
      <c r="C6" s="12" t="s">
        <v>206</v>
      </c>
      <c r="D6" s="10" t="s">
        <v>209</v>
      </c>
      <c r="E6" s="10"/>
      <c r="F6" s="10" t="s">
        <v>209</v>
      </c>
      <c r="G6" s="11"/>
      <c r="H6" s="10" t="s">
        <v>210</v>
      </c>
      <c r="I6" s="11">
        <v>4</v>
      </c>
      <c r="J6" s="11">
        <v>2</v>
      </c>
      <c r="K6" s="10"/>
    </row>
    <row r="7" spans="1:11" ht="33.950000000000003" customHeight="1">
      <c r="A7" s="10">
        <v>3</v>
      </c>
      <c r="B7" s="10" t="s">
        <v>205</v>
      </c>
      <c r="C7" s="13" t="s">
        <v>211</v>
      </c>
      <c r="D7" s="10" t="s">
        <v>207</v>
      </c>
      <c r="E7" s="10"/>
      <c r="F7" s="10"/>
      <c r="G7" s="11"/>
      <c r="H7" s="10" t="s">
        <v>212</v>
      </c>
      <c r="I7" s="11">
        <v>3</v>
      </c>
      <c r="J7" s="11">
        <v>1</v>
      </c>
      <c r="K7" s="10"/>
    </row>
    <row r="8" spans="1:11" ht="33.950000000000003" customHeight="1">
      <c r="A8" s="10">
        <v>4</v>
      </c>
      <c r="B8" s="10" t="s">
        <v>205</v>
      </c>
      <c r="C8" s="14" t="s">
        <v>213</v>
      </c>
      <c r="D8" s="10"/>
      <c r="E8" s="10"/>
      <c r="F8" s="10"/>
      <c r="G8" s="11">
        <v>700</v>
      </c>
      <c r="H8" s="10" t="s">
        <v>214</v>
      </c>
      <c r="I8" s="11">
        <v>3</v>
      </c>
      <c r="J8" s="11">
        <v>1</v>
      </c>
      <c r="K8" s="10"/>
    </row>
    <row r="9" spans="1:11" ht="33.950000000000003" customHeight="1">
      <c r="A9" s="10">
        <v>5</v>
      </c>
      <c r="B9" s="10" t="s">
        <v>205</v>
      </c>
      <c r="C9" s="12" t="s">
        <v>206</v>
      </c>
      <c r="D9" s="10" t="s">
        <v>215</v>
      </c>
      <c r="E9" s="10"/>
      <c r="F9" s="10" t="s">
        <v>215</v>
      </c>
      <c r="G9" s="11"/>
      <c r="H9" s="10" t="s">
        <v>216</v>
      </c>
      <c r="I9" s="11">
        <v>5</v>
      </c>
      <c r="J9" s="11">
        <v>1</v>
      </c>
      <c r="K9" s="10"/>
    </row>
    <row r="10" spans="1:11" ht="33.950000000000003" customHeight="1">
      <c r="A10" s="10">
        <v>6</v>
      </c>
      <c r="B10" s="10" t="s">
        <v>205</v>
      </c>
      <c r="C10" s="12" t="s">
        <v>206</v>
      </c>
      <c r="D10" s="10" t="s">
        <v>71</v>
      </c>
      <c r="E10" s="10"/>
      <c r="F10" s="10" t="s">
        <v>71</v>
      </c>
      <c r="G10" s="11"/>
      <c r="H10" s="10" t="s">
        <v>217</v>
      </c>
      <c r="I10" s="11">
        <v>5</v>
      </c>
      <c r="J10" s="11">
        <v>1</v>
      </c>
      <c r="K10" s="10"/>
    </row>
    <row r="11" spans="1:11" ht="33.950000000000003" customHeight="1">
      <c r="A11" s="10">
        <v>7</v>
      </c>
      <c r="B11" s="10" t="s">
        <v>205</v>
      </c>
      <c r="C11" s="12" t="s">
        <v>206</v>
      </c>
      <c r="D11" s="10" t="s">
        <v>218</v>
      </c>
      <c r="E11" s="10"/>
      <c r="F11" s="10" t="s">
        <v>218</v>
      </c>
      <c r="G11" s="11"/>
      <c r="H11" s="10" t="s">
        <v>219</v>
      </c>
      <c r="I11" s="11">
        <v>6</v>
      </c>
      <c r="J11" s="11">
        <v>1</v>
      </c>
      <c r="K11" s="10"/>
    </row>
    <row r="12" spans="1:11" ht="33.950000000000003" customHeight="1">
      <c r="A12" s="10">
        <v>8</v>
      </c>
      <c r="B12" s="10" t="s">
        <v>205</v>
      </c>
      <c r="C12" s="12" t="s">
        <v>206</v>
      </c>
      <c r="D12" s="10" t="s">
        <v>220</v>
      </c>
      <c r="E12" s="10"/>
      <c r="F12" s="10" t="s">
        <v>220</v>
      </c>
      <c r="G12" s="11"/>
      <c r="H12" s="10" t="s">
        <v>221</v>
      </c>
      <c r="I12" s="11">
        <v>6</v>
      </c>
      <c r="J12" s="11">
        <v>1</v>
      </c>
      <c r="K12" s="10"/>
    </row>
    <row r="13" spans="1:11" ht="33.950000000000003" customHeight="1">
      <c r="A13" s="10">
        <v>9</v>
      </c>
      <c r="B13" s="10" t="s">
        <v>205</v>
      </c>
      <c r="C13" s="12" t="s">
        <v>206</v>
      </c>
      <c r="D13" s="10" t="s">
        <v>222</v>
      </c>
      <c r="E13" s="10"/>
      <c r="F13" s="10" t="s">
        <v>222</v>
      </c>
      <c r="G13" s="11"/>
      <c r="H13" s="10" t="s">
        <v>223</v>
      </c>
      <c r="I13" s="11">
        <v>6</v>
      </c>
      <c r="J13" s="11">
        <v>1</v>
      </c>
      <c r="K13" s="10"/>
    </row>
    <row r="14" spans="1:11" ht="33.950000000000003" customHeight="1">
      <c r="A14" s="10">
        <v>10</v>
      </c>
      <c r="B14" s="10" t="s">
        <v>205</v>
      </c>
      <c r="C14" s="12" t="s">
        <v>206</v>
      </c>
      <c r="D14" s="10" t="s">
        <v>224</v>
      </c>
      <c r="E14" s="10"/>
      <c r="F14" s="10" t="s">
        <v>224</v>
      </c>
      <c r="G14" s="11"/>
      <c r="H14" s="10" t="s">
        <v>225</v>
      </c>
      <c r="I14" s="11">
        <v>6</v>
      </c>
      <c r="J14" s="11">
        <v>1</v>
      </c>
      <c r="K14" s="10"/>
    </row>
    <row r="15" spans="1:11" ht="33.950000000000003" customHeight="1">
      <c r="A15" s="10">
        <v>11</v>
      </c>
      <c r="B15" s="10" t="s">
        <v>205</v>
      </c>
      <c r="C15" s="12" t="s">
        <v>206</v>
      </c>
      <c r="D15" s="16" t="s">
        <v>281</v>
      </c>
      <c r="E15" s="10"/>
      <c r="F15" s="16" t="s">
        <v>281</v>
      </c>
      <c r="G15" s="11"/>
      <c r="H15" s="10" t="s">
        <v>282</v>
      </c>
      <c r="I15" s="11">
        <v>7</v>
      </c>
      <c r="J15" s="11">
        <v>1</v>
      </c>
      <c r="K15" s="10"/>
    </row>
    <row r="16" spans="1:11" ht="33.950000000000003" customHeight="1">
      <c r="A16" s="10">
        <v>12</v>
      </c>
      <c r="B16" s="10" t="s">
        <v>205</v>
      </c>
      <c r="C16" s="12" t="s">
        <v>206</v>
      </c>
      <c r="D16" s="10" t="s">
        <v>283</v>
      </c>
      <c r="E16" s="10"/>
      <c r="F16" s="10" t="s">
        <v>283</v>
      </c>
      <c r="G16" s="11"/>
      <c r="H16" s="10" t="s">
        <v>284</v>
      </c>
      <c r="I16" s="11">
        <v>8</v>
      </c>
      <c r="J16" s="11">
        <v>2</v>
      </c>
      <c r="K16" s="10"/>
    </row>
    <row r="17" spans="1:11" ht="33.950000000000003" customHeight="1">
      <c r="A17" s="10">
        <v>13</v>
      </c>
      <c r="B17" s="10" t="s">
        <v>205</v>
      </c>
      <c r="C17" s="13" t="s">
        <v>211</v>
      </c>
      <c r="D17" s="16" t="s">
        <v>281</v>
      </c>
      <c r="E17" s="10"/>
      <c r="F17" s="10"/>
      <c r="G17" s="11"/>
      <c r="H17" s="10" t="s">
        <v>285</v>
      </c>
      <c r="I17" s="11">
        <v>9</v>
      </c>
      <c r="J17" s="11">
        <v>1</v>
      </c>
      <c r="K17" s="10"/>
    </row>
    <row r="18" spans="1:11" ht="33.950000000000003" customHeight="1">
      <c r="A18" s="10">
        <v>14</v>
      </c>
      <c r="B18" s="10" t="s">
        <v>205</v>
      </c>
      <c r="C18" s="14" t="s">
        <v>213</v>
      </c>
      <c r="D18" s="10"/>
      <c r="E18" s="10"/>
      <c r="F18" s="10"/>
      <c r="G18" s="11">
        <v>500</v>
      </c>
      <c r="H18" s="10" t="s">
        <v>286</v>
      </c>
      <c r="I18" s="11">
        <v>9</v>
      </c>
      <c r="J18" s="11">
        <v>1</v>
      </c>
      <c r="K18" s="10"/>
    </row>
    <row r="19" spans="1:11" ht="33.950000000000003" customHeight="1">
      <c r="A19" s="10">
        <v>15</v>
      </c>
      <c r="B19" s="10" t="s">
        <v>205</v>
      </c>
      <c r="C19" s="11" t="s">
        <v>226</v>
      </c>
      <c r="D19" s="16" t="s">
        <v>287</v>
      </c>
      <c r="E19" s="10"/>
      <c r="F19" s="10" t="s">
        <v>227</v>
      </c>
      <c r="G19" s="11"/>
      <c r="H19" s="10" t="s">
        <v>288</v>
      </c>
      <c r="I19" s="11">
        <v>10</v>
      </c>
      <c r="J19" s="11">
        <v>1</v>
      </c>
      <c r="K19" s="10"/>
    </row>
    <row r="20" spans="1:11" ht="33.950000000000003" customHeight="1">
      <c r="A20" s="10">
        <v>16</v>
      </c>
      <c r="B20" s="10" t="s">
        <v>205</v>
      </c>
      <c r="C20" s="12" t="s">
        <v>206</v>
      </c>
      <c r="D20" s="10" t="s">
        <v>71</v>
      </c>
      <c r="E20" s="10"/>
      <c r="F20" s="10" t="s">
        <v>71</v>
      </c>
      <c r="G20" s="11"/>
      <c r="H20" s="10" t="s">
        <v>228</v>
      </c>
      <c r="I20" s="11">
        <v>11</v>
      </c>
      <c r="J20" s="11">
        <v>1</v>
      </c>
      <c r="K20" s="10"/>
    </row>
    <row r="21" spans="1:11" ht="33.950000000000003" customHeight="1">
      <c r="A21" s="10">
        <v>17</v>
      </c>
      <c r="B21" s="10" t="s">
        <v>205</v>
      </c>
      <c r="C21" s="12" t="s">
        <v>206</v>
      </c>
      <c r="D21" s="10" t="s">
        <v>71</v>
      </c>
      <c r="E21" s="10"/>
      <c r="F21" s="10" t="s">
        <v>71</v>
      </c>
      <c r="G21" s="11"/>
      <c r="H21" s="10" t="s">
        <v>229</v>
      </c>
      <c r="I21" s="11">
        <v>12</v>
      </c>
      <c r="J21" s="11">
        <v>1</v>
      </c>
      <c r="K21" s="10"/>
    </row>
    <row r="22" spans="1:11" ht="33.950000000000003" customHeight="1">
      <c r="A22" s="10">
        <v>18</v>
      </c>
      <c r="B22" s="10" t="s">
        <v>205</v>
      </c>
      <c r="C22" s="14" t="s">
        <v>213</v>
      </c>
      <c r="D22" s="10"/>
      <c r="E22" s="10"/>
      <c r="F22" s="10"/>
      <c r="G22" s="11">
        <v>700</v>
      </c>
      <c r="H22" s="10" t="s">
        <v>231</v>
      </c>
      <c r="I22" s="11">
        <v>13</v>
      </c>
      <c r="J22" s="11">
        <v>2</v>
      </c>
      <c r="K22" s="10"/>
    </row>
    <row r="23" spans="1:11" ht="33.950000000000003" customHeight="1">
      <c r="A23" s="10">
        <v>19</v>
      </c>
      <c r="B23" s="10" t="s">
        <v>205</v>
      </c>
      <c r="C23" s="13" t="s">
        <v>211</v>
      </c>
      <c r="D23" s="10" t="s">
        <v>71</v>
      </c>
      <c r="E23" s="10"/>
      <c r="F23" s="10"/>
      <c r="G23" s="11"/>
      <c r="H23" s="10" t="s">
        <v>232</v>
      </c>
      <c r="I23" s="11">
        <v>14</v>
      </c>
      <c r="J23" s="11">
        <v>1</v>
      </c>
      <c r="K23" s="10"/>
    </row>
    <row r="24" spans="1:11" ht="33.950000000000003" customHeight="1">
      <c r="A24" s="10">
        <v>20</v>
      </c>
      <c r="B24" s="10" t="s">
        <v>205</v>
      </c>
      <c r="C24" s="14" t="s">
        <v>213</v>
      </c>
      <c r="D24" s="10"/>
      <c r="E24" s="10"/>
      <c r="F24" s="10"/>
      <c r="G24" s="11">
        <v>700</v>
      </c>
      <c r="H24" s="10" t="s">
        <v>233</v>
      </c>
      <c r="I24" s="11">
        <v>15</v>
      </c>
      <c r="J24" s="11">
        <v>1</v>
      </c>
      <c r="K24" s="10"/>
    </row>
    <row r="25" spans="1:11" ht="33.950000000000003" customHeight="1">
      <c r="A25" s="10">
        <v>21</v>
      </c>
      <c r="B25" s="10" t="s">
        <v>205</v>
      </c>
      <c r="C25" s="12" t="s">
        <v>206</v>
      </c>
      <c r="D25" s="10" t="s">
        <v>234</v>
      </c>
      <c r="E25" s="10"/>
      <c r="F25" s="10" t="s">
        <v>234</v>
      </c>
      <c r="G25" s="11"/>
      <c r="H25" s="10" t="s">
        <v>235</v>
      </c>
      <c r="I25" s="11">
        <v>16</v>
      </c>
      <c r="J25" s="11">
        <v>1</v>
      </c>
      <c r="K25" s="10"/>
    </row>
    <row r="26" spans="1:11" ht="33.950000000000003" customHeight="1">
      <c r="A26" s="10">
        <v>22</v>
      </c>
      <c r="B26" s="10" t="s">
        <v>205</v>
      </c>
      <c r="C26" s="12" t="s">
        <v>206</v>
      </c>
      <c r="D26" s="10" t="s">
        <v>236</v>
      </c>
      <c r="E26" s="10"/>
      <c r="F26" s="10" t="s">
        <v>236</v>
      </c>
      <c r="G26" s="11"/>
      <c r="H26" s="10" t="s">
        <v>237</v>
      </c>
      <c r="I26" s="11">
        <v>17</v>
      </c>
      <c r="J26" s="11">
        <v>1</v>
      </c>
      <c r="K26" s="10"/>
    </row>
    <row r="27" spans="1:11" ht="33.950000000000003" customHeight="1">
      <c r="A27" s="10">
        <v>23</v>
      </c>
      <c r="B27" s="10" t="s">
        <v>205</v>
      </c>
      <c r="C27" s="12" t="s">
        <v>206</v>
      </c>
      <c r="D27" s="16" t="s">
        <v>289</v>
      </c>
      <c r="E27" s="10"/>
      <c r="F27" s="16" t="s">
        <v>290</v>
      </c>
      <c r="G27" s="11"/>
      <c r="H27" s="10" t="s">
        <v>291</v>
      </c>
      <c r="I27" s="11">
        <v>18</v>
      </c>
      <c r="J27" s="11">
        <v>1</v>
      </c>
      <c r="K27" s="10"/>
    </row>
    <row r="28" spans="1:11" ht="33.950000000000003" customHeight="1">
      <c r="A28" s="10">
        <v>24</v>
      </c>
      <c r="B28" s="10" t="s">
        <v>205</v>
      </c>
      <c r="C28" s="12" t="s">
        <v>206</v>
      </c>
      <c r="D28" s="10" t="s">
        <v>238</v>
      </c>
      <c r="E28" s="10"/>
      <c r="F28" s="10" t="s">
        <v>238</v>
      </c>
      <c r="G28" s="11"/>
      <c r="H28" s="10" t="s">
        <v>239</v>
      </c>
      <c r="I28" s="11">
        <v>19</v>
      </c>
      <c r="J28" s="11">
        <v>1</v>
      </c>
      <c r="K28" s="10"/>
    </row>
    <row r="29" spans="1:11" ht="33.950000000000003" customHeight="1">
      <c r="A29" s="10">
        <v>25</v>
      </c>
      <c r="B29" s="10" t="s">
        <v>205</v>
      </c>
      <c r="C29" s="13" t="s">
        <v>211</v>
      </c>
      <c r="D29" s="10" t="s">
        <v>266</v>
      </c>
      <c r="E29" s="10"/>
      <c r="F29" s="10" t="s">
        <v>266</v>
      </c>
      <c r="G29" s="11"/>
      <c r="H29" s="10" t="s">
        <v>240</v>
      </c>
      <c r="I29" s="11">
        <v>20</v>
      </c>
      <c r="J29" s="11">
        <v>1</v>
      </c>
      <c r="K29" s="10"/>
    </row>
    <row r="30" spans="1:11" ht="33.950000000000003" customHeight="1">
      <c r="A30" s="10">
        <v>26</v>
      </c>
      <c r="B30" s="10" t="s">
        <v>205</v>
      </c>
      <c r="C30" s="12" t="s">
        <v>206</v>
      </c>
      <c r="D30" s="10" t="s">
        <v>215</v>
      </c>
      <c r="E30" s="10"/>
      <c r="F30" s="10" t="s">
        <v>215</v>
      </c>
      <c r="G30" s="11"/>
      <c r="H30" s="10" t="s">
        <v>216</v>
      </c>
      <c r="I30" s="11">
        <v>21</v>
      </c>
      <c r="J30" s="11">
        <v>1</v>
      </c>
      <c r="K30" s="10"/>
    </row>
    <row r="31" spans="1:11" ht="33.950000000000003" customHeight="1">
      <c r="A31" s="10">
        <v>27</v>
      </c>
      <c r="B31" s="10" t="s">
        <v>205</v>
      </c>
      <c r="C31" s="13" t="s">
        <v>211</v>
      </c>
      <c r="D31" s="10" t="s">
        <v>218</v>
      </c>
      <c r="E31" s="10"/>
      <c r="F31" s="10"/>
      <c r="G31" s="11"/>
      <c r="H31" s="10" t="s">
        <v>307</v>
      </c>
      <c r="I31" s="11">
        <v>22</v>
      </c>
      <c r="J31" s="11">
        <v>1</v>
      </c>
      <c r="K31" s="10"/>
    </row>
    <row r="32" spans="1:11" ht="33.950000000000003" customHeight="1">
      <c r="A32" s="10">
        <v>28</v>
      </c>
      <c r="B32" s="10" t="s">
        <v>205</v>
      </c>
      <c r="C32" s="13" t="s">
        <v>211</v>
      </c>
      <c r="D32" s="10" t="s">
        <v>71</v>
      </c>
      <c r="E32" s="10"/>
      <c r="F32" s="10"/>
      <c r="G32" s="11"/>
      <c r="H32" s="10" t="s">
        <v>267</v>
      </c>
      <c r="I32" s="11">
        <v>23</v>
      </c>
      <c r="J32" s="11">
        <v>1</v>
      </c>
      <c r="K32" s="10"/>
    </row>
    <row r="33" spans="1:11" ht="33.950000000000003" customHeight="1">
      <c r="A33" s="10">
        <v>29</v>
      </c>
      <c r="B33" s="10" t="s">
        <v>205</v>
      </c>
      <c r="C33" s="14" t="s">
        <v>213</v>
      </c>
      <c r="D33" s="10"/>
      <c r="E33" s="10"/>
      <c r="F33" s="10"/>
      <c r="G33" s="11"/>
      <c r="H33" s="10" t="s">
        <v>268</v>
      </c>
      <c r="I33" s="11">
        <v>24</v>
      </c>
      <c r="J33" s="11">
        <v>1</v>
      </c>
      <c r="K33" s="10"/>
    </row>
    <row r="34" spans="1:11" ht="33.950000000000003" customHeight="1">
      <c r="A34" s="10">
        <v>30</v>
      </c>
      <c r="B34" s="10" t="s">
        <v>205</v>
      </c>
      <c r="C34" s="14" t="s">
        <v>213</v>
      </c>
      <c r="D34" s="10"/>
      <c r="E34" s="10"/>
      <c r="F34" s="10"/>
      <c r="G34" s="11"/>
      <c r="H34" s="10" t="s">
        <v>241</v>
      </c>
      <c r="I34" s="11">
        <v>25</v>
      </c>
      <c r="J34" s="11">
        <v>1</v>
      </c>
      <c r="K34" s="10"/>
    </row>
    <row r="35" spans="1:11" ht="33.950000000000003" customHeight="1">
      <c r="A35" s="10">
        <v>31</v>
      </c>
      <c r="B35" s="10" t="s">
        <v>205</v>
      </c>
      <c r="C35" s="12" t="s">
        <v>206</v>
      </c>
      <c r="D35" s="10" t="s">
        <v>242</v>
      </c>
      <c r="E35" s="10"/>
      <c r="F35" s="10" t="s">
        <v>242</v>
      </c>
      <c r="G35" s="11"/>
      <c r="H35" s="10" t="s">
        <v>243</v>
      </c>
      <c r="I35" s="11">
        <v>26</v>
      </c>
      <c r="J35" s="11">
        <v>1</v>
      </c>
      <c r="K35" s="10"/>
    </row>
    <row r="36" spans="1:11" ht="33.950000000000003" customHeight="1">
      <c r="A36" s="10">
        <v>32</v>
      </c>
      <c r="B36" s="10" t="s">
        <v>205</v>
      </c>
      <c r="C36" s="12" t="s">
        <v>206</v>
      </c>
      <c r="D36" s="10" t="s">
        <v>242</v>
      </c>
      <c r="E36" s="10"/>
      <c r="F36" s="10" t="s">
        <v>242</v>
      </c>
      <c r="G36" s="11"/>
      <c r="H36" s="10" t="s">
        <v>243</v>
      </c>
      <c r="I36" s="11">
        <v>27</v>
      </c>
      <c r="J36" s="11">
        <v>1</v>
      </c>
      <c r="K36" s="10"/>
    </row>
    <row r="37" spans="1:11" ht="33.950000000000003" customHeight="1">
      <c r="A37" s="10">
        <v>33</v>
      </c>
      <c r="B37" s="10" t="s">
        <v>205</v>
      </c>
      <c r="C37" s="12" t="s">
        <v>206</v>
      </c>
      <c r="D37" s="10" t="s">
        <v>244</v>
      </c>
      <c r="E37" s="10"/>
      <c r="F37" s="10" t="s">
        <v>244</v>
      </c>
      <c r="G37" s="11"/>
      <c r="H37" s="10" t="s">
        <v>245</v>
      </c>
      <c r="I37" s="11">
        <v>28</v>
      </c>
      <c r="J37" s="11">
        <v>2</v>
      </c>
      <c r="K37" s="10"/>
    </row>
    <row r="38" spans="1:11" ht="33.950000000000003" customHeight="1">
      <c r="A38" s="10">
        <v>34</v>
      </c>
      <c r="B38" s="10" t="s">
        <v>205</v>
      </c>
      <c r="C38" s="13" t="s">
        <v>211</v>
      </c>
      <c r="D38" s="10" t="s">
        <v>242</v>
      </c>
      <c r="E38" s="10"/>
      <c r="F38" s="10"/>
      <c r="G38" s="11"/>
      <c r="H38" s="10" t="s">
        <v>246</v>
      </c>
      <c r="I38" s="11">
        <v>29</v>
      </c>
      <c r="J38" s="11">
        <v>1</v>
      </c>
      <c r="K38" s="10"/>
    </row>
    <row r="39" spans="1:11" ht="33.950000000000003" customHeight="1">
      <c r="A39" s="10">
        <v>35</v>
      </c>
      <c r="B39" s="10" t="s">
        <v>205</v>
      </c>
      <c r="C39" s="14" t="s">
        <v>213</v>
      </c>
      <c r="D39" s="10"/>
      <c r="E39" s="10"/>
      <c r="F39" s="10"/>
      <c r="G39" s="11">
        <v>500</v>
      </c>
      <c r="H39" s="10" t="s">
        <v>247</v>
      </c>
      <c r="I39" s="11">
        <v>30</v>
      </c>
      <c r="J39" s="11">
        <v>1</v>
      </c>
      <c r="K39" s="10"/>
    </row>
    <row r="40" spans="1:11" ht="33.950000000000003" customHeight="1">
      <c r="A40" s="10">
        <v>36</v>
      </c>
      <c r="B40" s="10" t="s">
        <v>205</v>
      </c>
      <c r="C40" s="11" t="s">
        <v>226</v>
      </c>
      <c r="D40" s="10" t="s">
        <v>242</v>
      </c>
      <c r="E40" s="10"/>
      <c r="F40" s="10" t="s">
        <v>227</v>
      </c>
      <c r="G40" s="11"/>
      <c r="H40" s="10" t="s">
        <v>269</v>
      </c>
      <c r="I40" s="11">
        <v>31</v>
      </c>
      <c r="J40" s="11">
        <v>1</v>
      </c>
      <c r="K40" s="10"/>
    </row>
    <row r="41" spans="1:11" ht="33.950000000000003" customHeight="1">
      <c r="A41" s="10">
        <v>37</v>
      </c>
      <c r="B41" s="10" t="s">
        <v>205</v>
      </c>
      <c r="C41" s="12" t="s">
        <v>206</v>
      </c>
      <c r="D41" s="10" t="s">
        <v>248</v>
      </c>
      <c r="E41" s="10"/>
      <c r="F41" s="10" t="s">
        <v>248</v>
      </c>
      <c r="G41" s="11"/>
      <c r="H41" s="10" t="s">
        <v>249</v>
      </c>
      <c r="I41" s="11">
        <v>32</v>
      </c>
      <c r="J41" s="11">
        <v>1</v>
      </c>
      <c r="K41" s="10"/>
    </row>
    <row r="42" spans="1:11" ht="33.950000000000003" customHeight="1">
      <c r="A42" s="10">
        <v>38</v>
      </c>
      <c r="B42" s="10" t="s">
        <v>205</v>
      </c>
      <c r="C42" s="13" t="s">
        <v>211</v>
      </c>
      <c r="D42" s="10" t="s">
        <v>248</v>
      </c>
      <c r="E42" s="10"/>
      <c r="F42" s="10"/>
      <c r="G42" s="11"/>
      <c r="H42" s="10" t="s">
        <v>250</v>
      </c>
      <c r="I42" s="11">
        <v>33</v>
      </c>
      <c r="J42" s="11">
        <v>1</v>
      </c>
      <c r="K42" s="10"/>
    </row>
    <row r="43" spans="1:11" ht="33.950000000000003" customHeight="1">
      <c r="A43" s="10">
        <v>39</v>
      </c>
      <c r="B43" s="10" t="s">
        <v>205</v>
      </c>
      <c r="C43" s="12" t="s">
        <v>206</v>
      </c>
      <c r="D43" s="10" t="s">
        <v>270</v>
      </c>
      <c r="E43" s="10"/>
      <c r="F43" s="10"/>
      <c r="G43" s="11"/>
      <c r="H43" s="10" t="s">
        <v>251</v>
      </c>
      <c r="I43" s="11">
        <v>34</v>
      </c>
      <c r="J43" s="11">
        <v>1</v>
      </c>
      <c r="K43" s="10"/>
    </row>
    <row r="44" spans="1:11" ht="33.950000000000003" customHeight="1">
      <c r="A44" s="10">
        <v>40</v>
      </c>
      <c r="B44" s="10" t="s">
        <v>205</v>
      </c>
      <c r="C44" s="13" t="s">
        <v>211</v>
      </c>
      <c r="D44" s="16" t="s">
        <v>271</v>
      </c>
      <c r="E44" s="10"/>
      <c r="F44" s="16" t="s">
        <v>272</v>
      </c>
      <c r="G44" s="11"/>
      <c r="H44" s="10" t="s">
        <v>252</v>
      </c>
      <c r="I44" s="11">
        <v>35</v>
      </c>
      <c r="J44" s="11">
        <v>1</v>
      </c>
      <c r="K44" s="10"/>
    </row>
    <row r="45" spans="1:11" ht="33.950000000000003" customHeight="1">
      <c r="A45" s="10">
        <v>41</v>
      </c>
      <c r="B45" s="10" t="s">
        <v>205</v>
      </c>
      <c r="C45" s="12" t="s">
        <v>206</v>
      </c>
      <c r="D45" s="10" t="s">
        <v>248</v>
      </c>
      <c r="E45" s="10"/>
      <c r="F45" s="10" t="s">
        <v>248</v>
      </c>
      <c r="G45" s="11"/>
      <c r="H45" s="10" t="s">
        <v>253</v>
      </c>
      <c r="I45" s="11">
        <v>36</v>
      </c>
      <c r="J45" s="11">
        <v>1</v>
      </c>
      <c r="K45" s="10"/>
    </row>
    <row r="46" spans="1:11" ht="33.950000000000003" customHeight="1">
      <c r="A46" s="10">
        <v>42</v>
      </c>
      <c r="B46" s="10" t="s">
        <v>205</v>
      </c>
      <c r="C46" s="13" t="s">
        <v>211</v>
      </c>
      <c r="D46" s="10" t="s">
        <v>248</v>
      </c>
      <c r="E46" s="10"/>
      <c r="F46" s="10"/>
      <c r="G46" s="11"/>
      <c r="H46" s="10" t="s">
        <v>292</v>
      </c>
      <c r="I46" s="11">
        <v>37</v>
      </c>
      <c r="J46" s="11">
        <v>1</v>
      </c>
      <c r="K46" s="10"/>
    </row>
    <row r="47" spans="1:11" ht="33.950000000000003" customHeight="1">
      <c r="A47" s="10">
        <v>43</v>
      </c>
      <c r="B47" s="10" t="s">
        <v>205</v>
      </c>
      <c r="C47" s="13" t="s">
        <v>211</v>
      </c>
      <c r="D47" s="16" t="s">
        <v>273</v>
      </c>
      <c r="E47" s="10"/>
      <c r="F47" s="16" t="s">
        <v>274</v>
      </c>
      <c r="G47" s="11"/>
      <c r="H47" s="10" t="s">
        <v>254</v>
      </c>
      <c r="I47" s="11">
        <v>38</v>
      </c>
      <c r="J47" s="11">
        <v>1</v>
      </c>
      <c r="K47" s="10"/>
    </row>
    <row r="48" spans="1:11" ht="33.950000000000003" customHeight="1">
      <c r="A48" s="10">
        <v>44</v>
      </c>
      <c r="B48" s="10" t="s">
        <v>205</v>
      </c>
      <c r="C48" s="14" t="s">
        <v>213</v>
      </c>
      <c r="D48" s="10"/>
      <c r="E48" s="10"/>
      <c r="F48" s="10"/>
      <c r="G48" s="11">
        <v>15000</v>
      </c>
      <c r="H48" s="10" t="s">
        <v>255</v>
      </c>
      <c r="I48" s="11">
        <v>39</v>
      </c>
      <c r="J48" s="11">
        <v>1</v>
      </c>
      <c r="K48" s="10"/>
    </row>
    <row r="49" spans="1:11" ht="33.950000000000003" customHeight="1">
      <c r="A49" s="10">
        <v>46</v>
      </c>
      <c r="B49" s="10" t="s">
        <v>205</v>
      </c>
      <c r="C49" s="13" t="s">
        <v>211</v>
      </c>
      <c r="D49" s="16" t="s">
        <v>276</v>
      </c>
      <c r="E49" s="10"/>
      <c r="F49" s="16" t="s">
        <v>276</v>
      </c>
      <c r="G49" s="11"/>
      <c r="H49" s="10" t="s">
        <v>258</v>
      </c>
      <c r="I49" s="11">
        <v>43</v>
      </c>
      <c r="J49" s="11">
        <v>1</v>
      </c>
      <c r="K49" s="10"/>
    </row>
    <row r="50" spans="1:11" ht="33.950000000000003" customHeight="1">
      <c r="A50" s="10">
        <v>47</v>
      </c>
      <c r="B50" s="10" t="s">
        <v>205</v>
      </c>
      <c r="C50" s="13" t="s">
        <v>211</v>
      </c>
      <c r="D50" s="16" t="s">
        <v>315</v>
      </c>
      <c r="E50" s="10"/>
      <c r="F50" s="16" t="s">
        <v>316</v>
      </c>
      <c r="G50" s="11"/>
      <c r="H50" s="10" t="s">
        <v>259</v>
      </c>
      <c r="I50" s="11">
        <v>44</v>
      </c>
      <c r="J50" s="11">
        <v>1</v>
      </c>
      <c r="K50" s="10"/>
    </row>
    <row r="51" spans="1:11" ht="33.950000000000003" customHeight="1">
      <c r="A51" s="10">
        <v>48</v>
      </c>
      <c r="B51" s="10" t="s">
        <v>205</v>
      </c>
      <c r="C51" s="13" t="s">
        <v>211</v>
      </c>
      <c r="D51" s="10" t="s">
        <v>275</v>
      </c>
      <c r="E51" s="10"/>
      <c r="F51" s="10" t="s">
        <v>275</v>
      </c>
      <c r="G51" s="11"/>
      <c r="H51" s="10" t="s">
        <v>256</v>
      </c>
      <c r="I51" s="11">
        <v>41</v>
      </c>
      <c r="J51" s="11">
        <v>1</v>
      </c>
      <c r="K51" s="10"/>
    </row>
    <row r="52" spans="1:11" ht="33.950000000000003" customHeight="1">
      <c r="A52" s="10">
        <v>49</v>
      </c>
      <c r="B52" s="10" t="s">
        <v>205</v>
      </c>
      <c r="C52" s="14" t="s">
        <v>213</v>
      </c>
      <c r="D52" s="10"/>
      <c r="E52" s="10"/>
      <c r="F52" s="10"/>
      <c r="G52" s="11">
        <v>15000</v>
      </c>
      <c r="H52" s="10" t="s">
        <v>257</v>
      </c>
      <c r="I52" s="11">
        <v>42</v>
      </c>
      <c r="J52" s="11">
        <v>2</v>
      </c>
      <c r="K52" s="10"/>
    </row>
    <row r="53" spans="1:11" ht="33.950000000000003" customHeight="1">
      <c r="A53" s="10">
        <v>50</v>
      </c>
      <c r="B53" s="10" t="s">
        <v>205</v>
      </c>
      <c r="C53" s="13" t="s">
        <v>211</v>
      </c>
      <c r="D53" s="10" t="s">
        <v>277</v>
      </c>
      <c r="E53" s="10"/>
      <c r="F53" s="10" t="s">
        <v>277</v>
      </c>
      <c r="G53" s="11"/>
      <c r="H53" s="10" t="s">
        <v>260</v>
      </c>
      <c r="I53" s="11">
        <v>45</v>
      </c>
      <c r="J53" s="11">
        <v>1</v>
      </c>
      <c r="K53" s="10"/>
    </row>
    <row r="54" spans="1:11" ht="33.950000000000003" customHeight="1">
      <c r="A54" s="10">
        <v>51</v>
      </c>
      <c r="B54" s="10" t="s">
        <v>205</v>
      </c>
      <c r="C54" s="13" t="s">
        <v>211</v>
      </c>
      <c r="D54" s="10" t="s">
        <v>277</v>
      </c>
      <c r="E54" s="10"/>
      <c r="F54" s="10" t="s">
        <v>277</v>
      </c>
      <c r="G54" s="11"/>
      <c r="H54" s="10" t="s">
        <v>278</v>
      </c>
      <c r="I54" s="11">
        <v>46</v>
      </c>
      <c r="J54" s="11">
        <v>1</v>
      </c>
      <c r="K54" s="10"/>
    </row>
    <row r="55" spans="1:11" ht="33.950000000000003" customHeight="1">
      <c r="A55" s="10">
        <v>52</v>
      </c>
      <c r="B55" s="10" t="s">
        <v>205</v>
      </c>
      <c r="C55" s="13" t="s">
        <v>211</v>
      </c>
      <c r="D55" s="10" t="s">
        <v>277</v>
      </c>
      <c r="E55" s="10"/>
      <c r="F55" s="10" t="s">
        <v>277</v>
      </c>
      <c r="G55" s="11"/>
      <c r="H55" s="10" t="s">
        <v>279</v>
      </c>
      <c r="I55" s="11">
        <v>47</v>
      </c>
      <c r="J55" s="11">
        <v>1</v>
      </c>
      <c r="K55" s="10"/>
    </row>
    <row r="56" spans="1:11" ht="33.950000000000003" customHeight="1">
      <c r="A56" s="10">
        <v>53</v>
      </c>
      <c r="B56" s="10" t="s">
        <v>205</v>
      </c>
      <c r="C56" s="15" t="s">
        <v>230</v>
      </c>
      <c r="D56" s="10"/>
      <c r="E56" s="10"/>
      <c r="F56" s="10"/>
      <c r="G56" s="11"/>
      <c r="H56" s="10" t="s">
        <v>297</v>
      </c>
      <c r="I56" s="11">
        <v>48</v>
      </c>
      <c r="J56" s="11">
        <v>1</v>
      </c>
      <c r="K56" s="10" t="s">
        <v>261</v>
      </c>
    </row>
    <row r="57" spans="1:11" ht="33.950000000000003" customHeight="1">
      <c r="A57" s="10">
        <v>54</v>
      </c>
      <c r="B57" s="10" t="s">
        <v>205</v>
      </c>
      <c r="C57" s="15" t="s">
        <v>230</v>
      </c>
      <c r="D57" s="10"/>
      <c r="E57" s="10"/>
      <c r="F57" s="10"/>
      <c r="G57" s="11"/>
      <c r="H57" s="10" t="s">
        <v>298</v>
      </c>
      <c r="I57" s="11">
        <v>49</v>
      </c>
      <c r="J57" s="11">
        <v>1</v>
      </c>
      <c r="K57" s="10" t="s">
        <v>262</v>
      </c>
    </row>
    <row r="58" spans="1:11" ht="33.950000000000003" customHeight="1">
      <c r="A58" s="10">
        <v>55</v>
      </c>
      <c r="B58" s="10" t="s">
        <v>205</v>
      </c>
      <c r="C58" s="15" t="s">
        <v>230</v>
      </c>
      <c r="D58" s="10"/>
      <c r="E58" s="10"/>
      <c r="F58" s="10"/>
      <c r="G58" s="11"/>
      <c r="H58" s="10" t="s">
        <v>299</v>
      </c>
      <c r="I58" s="11">
        <v>50</v>
      </c>
      <c r="J58" s="11">
        <v>1</v>
      </c>
      <c r="K58" s="10" t="s">
        <v>263</v>
      </c>
    </row>
    <row r="59" spans="1:11" ht="33.950000000000003" customHeight="1">
      <c r="A59" s="10">
        <v>56</v>
      </c>
      <c r="B59" s="10" t="s">
        <v>205</v>
      </c>
      <c r="C59" s="15" t="s">
        <v>230</v>
      </c>
      <c r="D59" s="10"/>
      <c r="E59" s="10"/>
      <c r="F59" s="10"/>
      <c r="G59" s="11"/>
      <c r="H59" s="10" t="s">
        <v>300</v>
      </c>
      <c r="I59" s="11">
        <v>51</v>
      </c>
      <c r="J59" s="11">
        <v>1</v>
      </c>
      <c r="K59" s="10" t="s">
        <v>264</v>
      </c>
    </row>
    <row r="60" spans="1:11" ht="33.950000000000003" customHeight="1">
      <c r="A60" s="10">
        <v>57</v>
      </c>
      <c r="B60" s="10" t="s">
        <v>205</v>
      </c>
      <c r="C60" s="13" t="s">
        <v>211</v>
      </c>
      <c r="D60" s="16" t="s">
        <v>280</v>
      </c>
      <c r="E60" s="10"/>
      <c r="F60" s="16" t="s">
        <v>280</v>
      </c>
      <c r="G60" s="11"/>
      <c r="H60" s="10" t="s">
        <v>301</v>
      </c>
      <c r="I60" s="11">
        <v>52</v>
      </c>
      <c r="J60" s="11">
        <v>1</v>
      </c>
      <c r="K60" s="10"/>
    </row>
    <row r="61" spans="1:11" ht="33.950000000000003" customHeight="1">
      <c r="A61" s="10">
        <v>58</v>
      </c>
      <c r="B61" s="10" t="s">
        <v>205</v>
      </c>
      <c r="C61" s="13" t="s">
        <v>211</v>
      </c>
      <c r="D61" s="16" t="s">
        <v>317</v>
      </c>
      <c r="E61" s="10"/>
      <c r="F61" s="16" t="s">
        <v>318</v>
      </c>
      <c r="G61" s="11"/>
      <c r="H61" s="10" t="s">
        <v>302</v>
      </c>
      <c r="I61" s="11">
        <v>53</v>
      </c>
      <c r="J61" s="11">
        <v>1</v>
      </c>
      <c r="K61" s="10"/>
    </row>
    <row r="62" spans="1:11" ht="33.950000000000003" customHeight="1">
      <c r="A62" s="10">
        <v>59</v>
      </c>
      <c r="B62" s="10" t="s">
        <v>205</v>
      </c>
      <c r="C62" s="14" t="s">
        <v>265</v>
      </c>
      <c r="D62" s="10"/>
      <c r="E62" s="10"/>
      <c r="F62" s="10"/>
      <c r="G62" s="11"/>
      <c r="H62" s="10" t="s">
        <v>303</v>
      </c>
      <c r="I62" s="11">
        <v>54</v>
      </c>
      <c r="J62" s="11">
        <v>1</v>
      </c>
      <c r="K62" s="10"/>
    </row>
    <row r="63" spans="1:11" ht="33.950000000000003" customHeight="1">
      <c r="A63" s="10">
        <v>60</v>
      </c>
      <c r="B63" s="10" t="s">
        <v>205</v>
      </c>
      <c r="C63" s="14" t="s">
        <v>213</v>
      </c>
      <c r="D63" s="10"/>
      <c r="E63" s="10"/>
      <c r="F63" s="10"/>
      <c r="G63" s="11">
        <v>500</v>
      </c>
      <c r="H63" s="10" t="s">
        <v>304</v>
      </c>
      <c r="I63" s="11">
        <v>55</v>
      </c>
      <c r="J63" s="11">
        <v>1</v>
      </c>
      <c r="K63" s="10"/>
    </row>
    <row r="64" spans="1:11" ht="33.950000000000003" customHeight="1">
      <c r="A64" s="10">
        <v>61</v>
      </c>
      <c r="B64" s="10" t="s">
        <v>205</v>
      </c>
      <c r="C64" s="12" t="s">
        <v>206</v>
      </c>
      <c r="D64" s="10" t="s">
        <v>293</v>
      </c>
      <c r="E64" s="10"/>
      <c r="F64" s="10"/>
      <c r="G64" s="11"/>
      <c r="H64" s="10" t="s">
        <v>305</v>
      </c>
      <c r="I64" s="11">
        <v>56</v>
      </c>
      <c r="J64" s="11">
        <v>1</v>
      </c>
      <c r="K64" s="10"/>
    </row>
    <row r="65" spans="1:11" ht="33.950000000000003" customHeight="1">
      <c r="A65" s="10">
        <v>62</v>
      </c>
      <c r="B65" s="10" t="s">
        <v>205</v>
      </c>
      <c r="C65" s="13" t="s">
        <v>211</v>
      </c>
      <c r="D65" s="16" t="s">
        <v>294</v>
      </c>
      <c r="E65" s="10"/>
      <c r="F65" s="16" t="s">
        <v>294</v>
      </c>
      <c r="G65" s="11"/>
      <c r="H65" s="10" t="s">
        <v>306</v>
      </c>
      <c r="I65" s="11">
        <v>57</v>
      </c>
      <c r="J65" s="11">
        <v>1</v>
      </c>
      <c r="K65" s="10"/>
    </row>
    <row r="66" spans="1:11" ht="33.950000000000003" customHeight="1">
      <c r="A66" s="10">
        <v>63</v>
      </c>
      <c r="B66" s="10" t="s">
        <v>205</v>
      </c>
      <c r="C66" s="14" t="s">
        <v>265</v>
      </c>
      <c r="D66" s="10"/>
      <c r="E66" s="10"/>
      <c r="F66" s="10"/>
      <c r="G66" s="11"/>
      <c r="H66" s="10" t="s">
        <v>308</v>
      </c>
      <c r="I66" s="11">
        <v>58</v>
      </c>
      <c r="J66" s="11">
        <v>1</v>
      </c>
      <c r="K66" s="10"/>
    </row>
    <row r="67" spans="1:11" ht="33.950000000000003" customHeight="1">
      <c r="A67" s="10">
        <v>64</v>
      </c>
      <c r="B67" s="10" t="s">
        <v>205</v>
      </c>
      <c r="C67" s="14" t="s">
        <v>213</v>
      </c>
      <c r="D67" s="10"/>
      <c r="E67" s="10"/>
      <c r="F67" s="10"/>
      <c r="G67" s="11">
        <v>500</v>
      </c>
      <c r="H67" s="10" t="s">
        <v>309</v>
      </c>
      <c r="I67" s="11">
        <v>59</v>
      </c>
      <c r="J67" s="11">
        <v>1</v>
      </c>
      <c r="K67" s="10"/>
    </row>
    <row r="68" spans="1:11" ht="33.950000000000003" customHeight="1">
      <c r="A68" s="10">
        <v>65</v>
      </c>
      <c r="B68" s="10" t="s">
        <v>205</v>
      </c>
      <c r="C68" s="12" t="s">
        <v>206</v>
      </c>
      <c r="D68" s="10" t="s">
        <v>293</v>
      </c>
      <c r="E68" s="10"/>
      <c r="F68" s="10"/>
      <c r="G68" s="11"/>
      <c r="H68" s="10" t="s">
        <v>310</v>
      </c>
      <c r="I68" s="11">
        <v>60</v>
      </c>
      <c r="J68" s="11">
        <v>1</v>
      </c>
      <c r="K68" s="10"/>
    </row>
    <row r="69" spans="1:11" ht="33.950000000000003" customHeight="1">
      <c r="A69" s="10">
        <v>66</v>
      </c>
      <c r="B69" s="10" t="s">
        <v>205</v>
      </c>
      <c r="C69" s="13" t="s">
        <v>211</v>
      </c>
      <c r="D69" s="16" t="s">
        <v>295</v>
      </c>
      <c r="E69" s="10"/>
      <c r="F69" s="16" t="s">
        <v>296</v>
      </c>
      <c r="G69" s="11"/>
      <c r="H69" s="10" t="s">
        <v>311</v>
      </c>
      <c r="I69" s="11">
        <v>61</v>
      </c>
      <c r="J69" s="11">
        <v>1</v>
      </c>
      <c r="K69" s="10"/>
    </row>
    <row r="70" spans="1:11" ht="33.950000000000003" customHeight="1">
      <c r="A70" s="10">
        <v>67</v>
      </c>
      <c r="B70" s="10" t="s">
        <v>205</v>
      </c>
      <c r="C70" s="14" t="s">
        <v>265</v>
      </c>
      <c r="D70" s="10"/>
      <c r="E70" s="10"/>
      <c r="F70" s="10"/>
      <c r="G70" s="11"/>
      <c r="H70" s="10" t="s">
        <v>312</v>
      </c>
      <c r="I70" s="11">
        <v>62</v>
      </c>
      <c r="J70" s="11">
        <v>1</v>
      </c>
      <c r="K70" s="10"/>
    </row>
    <row r="71" spans="1:11" ht="33.950000000000003" customHeight="1">
      <c r="A71" s="10">
        <v>68</v>
      </c>
      <c r="B71" s="10" t="s">
        <v>205</v>
      </c>
      <c r="C71" s="14" t="s">
        <v>213</v>
      </c>
      <c r="D71" s="10"/>
      <c r="E71" s="10"/>
      <c r="F71" s="10"/>
      <c r="G71" s="11">
        <v>500</v>
      </c>
      <c r="H71" s="10" t="s">
        <v>313</v>
      </c>
      <c r="I71" s="11">
        <v>63</v>
      </c>
      <c r="J71" s="11">
        <v>1</v>
      </c>
      <c r="K71" s="10"/>
    </row>
    <row r="72" spans="1:11" ht="33.950000000000003" customHeight="1">
      <c r="A72" s="10">
        <v>69</v>
      </c>
      <c r="B72" s="10" t="s">
        <v>205</v>
      </c>
      <c r="C72" s="12" t="s">
        <v>206</v>
      </c>
      <c r="D72" s="10" t="s">
        <v>207</v>
      </c>
      <c r="E72" s="10"/>
      <c r="F72" s="10" t="s">
        <v>207</v>
      </c>
      <c r="G72" s="11"/>
      <c r="H72" s="10" t="s">
        <v>314</v>
      </c>
      <c r="I72" s="11">
        <v>64</v>
      </c>
      <c r="J72" s="11">
        <v>1</v>
      </c>
      <c r="K72" s="10"/>
    </row>
  </sheetData>
  <mergeCells count="2">
    <mergeCell ref="A1:K1"/>
    <mergeCell ref="A2:K2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Dashboard</vt:lpstr>
      <vt:lpstr>프리톡 화면</vt:lpstr>
      <vt:lpstr>Automation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2026-09-02T09:55:19Z</dcterms:modified>
</cp:coreProperties>
</file>